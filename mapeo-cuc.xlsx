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Shared with Me\Simuladores 2026\Fidelización\Mapeo Curricular Universidades\"/>
    </mc:Choice>
  </mc:AlternateContent>
  <xr:revisionPtr revIDLastSave="0" documentId="13_ncr:1_{6636EFB0-D5A9-4DAB-BB46-C7822A78E766}" xr6:coauthVersionLast="47" xr6:coauthVersionMax="47" xr10:uidLastSave="{00000000-0000-0000-0000-000000000000}"/>
  <bookViews>
    <workbookView xWindow="-120" yWindow="-120" windowWidth="20730" windowHeight="11040" tabRatio="500" firstSheet="3" activeTab="3" xr2:uid="{00000000-000D-0000-FFFF-FFFF00000000}"/>
  </bookViews>
  <sheets>
    <sheet name="Resumen" sheetId="1" r:id="rId1"/>
    <sheet name="Catálogo CompanyGame" sheetId="2" r:id="rId2"/>
    <sheet name="Administración de Empresas" sheetId="3" r:id="rId3"/>
    <sheet name="Adm. de Servicios de Salud" sheetId="4" r:id="rId4"/>
    <sheet name="Contaduría Pública" sheetId="5" r:id="rId5"/>
    <sheet name="Mercadeo y Publicidad" sheetId="6" r:id="rId6"/>
    <sheet name="Negocios Internacionales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1" i="1" l="1"/>
  <c r="E11" i="1"/>
  <c r="D11" i="1"/>
  <c r="C11" i="1"/>
  <c r="F10" i="1"/>
  <c r="E10" i="1"/>
  <c r="D10" i="1"/>
  <c r="C10" i="1"/>
  <c r="F9" i="1"/>
  <c r="E9" i="1"/>
  <c r="D9" i="1"/>
  <c r="C9" i="1"/>
  <c r="F8" i="1"/>
  <c r="E8" i="1"/>
  <c r="D8" i="1"/>
  <c r="C8" i="1"/>
  <c r="F7" i="1"/>
  <c r="E7" i="1"/>
  <c r="D7" i="1"/>
  <c r="C7" i="1"/>
  <c r="C12" i="1" s="1"/>
  <c r="G11" i="1" l="1"/>
  <c r="G9" i="1"/>
  <c r="G10" i="1"/>
  <c r="E12" i="1"/>
  <c r="G8" i="1"/>
  <c r="F12" i="1"/>
  <c r="G7" i="1"/>
  <c r="D12" i="1"/>
  <c r="G12" i="1" l="1"/>
</calcChain>
</file>

<file path=xl/sharedStrings.xml><?xml version="1.0" encoding="utf-8"?>
<sst xmlns="http://schemas.openxmlformats.org/spreadsheetml/2006/main" count="1479" uniqueCount="381">
  <si>
    <t>Relación materias – simuladores CompanyGame</t>
  </si>
  <si>
    <t>Corporación Universitaria de la Costa (CUC) · Administración de Empresas, Administración de Servicios de Salud, Contaduría Pública, Mercadeo y Publicidad, Negocios Internacionales</t>
  </si>
  <si>
    <t>Análisis del plan de estudios de cada pregrado (presencial, Barranquilla) frente al catálogo de simuladores CompanyGame</t>
  </si>
  <si>
    <t>Programa</t>
  </si>
  <si>
    <t>N.º de materias</t>
  </si>
  <si>
    <t>Encaje perfecto</t>
  </si>
  <si>
    <t>Encaje parcial</t>
  </si>
  <si>
    <t>No encaja / a desarrollar</t>
  </si>
  <si>
    <t>% con simulador CG</t>
  </si>
  <si>
    <t>Administración de Empresas</t>
  </si>
  <si>
    <t>Administración de Servicios de Salud</t>
  </si>
  <si>
    <t>Contaduría Pública</t>
  </si>
  <si>
    <t>Mercadeo y Publicidad</t>
  </si>
  <si>
    <t>Negocios Internacionales</t>
  </si>
  <si>
    <t>TOTAL</t>
  </si>
  <si>
    <t>Convención de la columna 'Grado de ajuste':</t>
  </si>
  <si>
    <t>Un simulador CompanyGame cubre directamente la materia</t>
  </si>
  <si>
    <t>Un simulador CG cubre parte de la materia; se sugiere complementar/desarrollar</t>
  </si>
  <si>
    <t>No encaja</t>
  </si>
  <si>
    <t>Ningún simulador CG aplica; se propone el tipo de simulador a desarrollar</t>
  </si>
  <si>
    <t>Notas metodológicas</t>
  </si>
  <si>
    <t>· La columna 'Semestre' corresponde al avance del plan de estudios de cada pregrado.</t>
  </si>
  <si>
    <t>· Mallas tomadas de las infografías oficiales 'Plan de estudios' de la Corporación Universitaria de la Costa (CUC):</t>
  </si>
  <si>
    <t xml:space="preserve">  Administración de Empresas (8 sem, 145 créditos), Administración de Servicios de Salud (9 sem, 145 créditos),</t>
  </si>
  <si>
    <t xml:space="preserve">  Contaduría Pública (8 sem, 143 créditos), Mercadeo y Publicidad (8 sem, 145 créditos) y Negocios Internacionales</t>
  </si>
  <si>
    <t xml:space="preserve">  (8 sem, 148 créditos). Los 5 programas se ofertan únicamente de forma presencial en Barranquilla — no existe</t>
  </si>
  <si>
    <t xml:space="preserve">  variante virtual, por lo que cada programa se mapea en una sola malla.</t>
  </si>
  <si>
    <t>· Catálogo de simuladores tomado de companygame.com (8 categorías; ver hoja 'Catálogo CompanyGame'),</t>
  </si>
  <si>
    <t xml:space="preserve">  el mismo cuadro de referencia usado para los mapeos de Universidad del Valle y Corporación Universitaria Americana.</t>
  </si>
  <si>
    <t>· Niveles CG: N1-2 Intro · N3-4 Avanzado · N5 Graduate · N6-7 Postgrado/Executive.</t>
  </si>
  <si>
    <t>· El catálogo no tiene categoría de RR.HH., de gestión pública ni de sector salud: las materias de talento humano,</t>
  </si>
  <si>
    <t xml:space="preserve">  liderazgo, gestión pública/estatal y las asignaturas clínico-administrativas propias de Administración de Servicios</t>
  </si>
  <si>
    <t xml:space="preserve">  de Salud (sistemas de salud, salud pública, terminología médica, servicios asistenciales, SST, contratación en</t>
  </si>
  <si>
    <t xml:space="preserve">  salud, etc.) se marcan 'No encaja' en los 5 mapeos, con una sugerencia de simulador a desarrollar cuando aplica.</t>
  </si>
  <si>
    <t>· Mercadeo y Publicidad y Negocios Internacionales son los programas de menor encaje directo: el primero por su</t>
  </si>
  <si>
    <t xml:space="preserve">  fuerte componente de diseño/creatividad publicitaria (identidad de marca, escritura creativa, fotografía</t>
  </si>
  <si>
    <t xml:space="preserve">  publicitaria) sin producto equivalente en el catálogo; el segundo por su alto contenido de comercio exterior,</t>
  </si>
  <si>
    <t xml:space="preserve">  logística aduanera y geopolítica, áreas que el catálogo tampoco cubre de forma específica.</t>
  </si>
  <si>
    <t>· Contaduría Pública y Administración de Empresas presentan el mejor aprovechamiento de la línea Finanzas y</t>
  </si>
  <si>
    <t xml:space="preserve">  Banca (ContaTrainer, Corbatul) y Negocios y Estrategia (T-Shirt, Business21, Business Global), respectivamente.</t>
  </si>
  <si>
    <t>Catálogo de simuladores CompanyGame</t>
  </si>
  <si>
    <t>Fuente: companygame.com</t>
  </si>
  <si>
    <t>Categoría</t>
  </si>
  <si>
    <t>Simulador</t>
  </si>
  <si>
    <t>Nivel</t>
  </si>
  <si>
    <t>Descripción / área temática</t>
  </si>
  <si>
    <t>Negocios y Estrategia</t>
  </si>
  <si>
    <t>T-Shirt</t>
  </si>
  <si>
    <t>N1-2</t>
  </si>
  <si>
    <t>Introducción a la gestión empresarial (sector textil)</t>
  </si>
  <si>
    <t>Sunny Day</t>
  </si>
  <si>
    <t>Introducción a la gestión; visión global (bebidas/consumo)</t>
  </si>
  <si>
    <t>Energy&amp;Co</t>
  </si>
  <si>
    <t>Introducción a la gestión empresarial (sector energético)</t>
  </si>
  <si>
    <t>Business21</t>
  </si>
  <si>
    <t>N3-4</t>
  </si>
  <si>
    <t>Dirección general intermedia; visión integral</t>
  </si>
  <si>
    <t>Business Global</t>
  </si>
  <si>
    <t>N5</t>
  </si>
  <si>
    <t>Dirección general avanzada; simulación gerencial integral</t>
  </si>
  <si>
    <t>Business Strategy</t>
  </si>
  <si>
    <t>N6-7</t>
  </si>
  <si>
    <t>Estrategia empresarial (executive/posgrado)</t>
  </si>
  <si>
    <t>Marketing y Ventas</t>
  </si>
  <si>
    <t>MarketGame</t>
  </si>
  <si>
    <t>Introducción al marketing y decisiones comerciales</t>
  </si>
  <si>
    <t>Coffee Time</t>
  </si>
  <si>
    <t>Marketing y retail (sector cafetería)</t>
  </si>
  <si>
    <t>Food Company</t>
  </si>
  <si>
    <t>Marketing estratégico sector alimentos</t>
  </si>
  <si>
    <t>SalesManager</t>
  </si>
  <si>
    <t>Gestión de la fuerza de ventas</t>
  </si>
  <si>
    <t>TechCompany</t>
  </si>
  <si>
    <t>Marketing sector tecnológico</t>
  </si>
  <si>
    <t>FOCUS</t>
  </si>
  <si>
    <t>Investigación de mercados y marketing estratégico</t>
  </si>
  <si>
    <t>GlobalMarket</t>
  </si>
  <si>
    <t>Marketing global (executive)</t>
  </si>
  <si>
    <t>Finanzas y Banca</t>
  </si>
  <si>
    <t>ContaTrainer</t>
  </si>
  <si>
    <t>Apuntes y registros contables; contabilidad básica</t>
  </si>
  <si>
    <t>Advisor Jr.</t>
  </si>
  <si>
    <t>N1-2 / N3-4</t>
  </si>
  <si>
    <t>Asesoría financiera y productos financieros</t>
  </si>
  <si>
    <t>Corbatul</t>
  </si>
  <si>
    <t>Gestión financiera empresarial</t>
  </si>
  <si>
    <t>Trading (Real Market Stocks)</t>
  </si>
  <si>
    <t>Bolsa y mercados de capitales (acciones reales)</t>
  </si>
  <si>
    <t>Bankgame</t>
  </si>
  <si>
    <t>Gestión de oficina bancaria</t>
  </si>
  <si>
    <t>BankCompany</t>
  </si>
  <si>
    <t>Estrategia y dirección bancaria (executive)</t>
  </si>
  <si>
    <t>Emprendimiento</t>
  </si>
  <si>
    <t>Fitness Gym</t>
  </si>
  <si>
    <t>Plan de negocio / creación de empresa (gimnasio)</t>
  </si>
  <si>
    <t>Luxe Atelier</t>
  </si>
  <si>
    <t>Emprendimiento (taller de moda)</t>
  </si>
  <si>
    <t>Business Chef</t>
  </si>
  <si>
    <t>Emprendimiento y gestión de restaurante</t>
  </si>
  <si>
    <t>Fitness Gym Executive</t>
  </si>
  <si>
    <t>Emprendimiento avanzado y gestión de proyecto</t>
  </si>
  <si>
    <t>Business Transformation</t>
  </si>
  <si>
    <t>InnovaTech</t>
  </si>
  <si>
    <t>Innovación y transformación digital</t>
  </si>
  <si>
    <t>Inter Pyme</t>
  </si>
  <si>
    <t>Internacionalización de pymes</t>
  </si>
  <si>
    <t>Avocado Expand</t>
  </si>
  <si>
    <t>Internacionalización / expansión exportadora</t>
  </si>
  <si>
    <t>Transforma</t>
  </si>
  <si>
    <t>Transformación empresarial</t>
  </si>
  <si>
    <t>Business Advance</t>
  </si>
  <si>
    <t>Negocio digital / e-commerce</t>
  </si>
  <si>
    <t>Global 2020</t>
  </si>
  <si>
    <t>Globalización y dirección global</t>
  </si>
  <si>
    <t>Global 2030</t>
  </si>
  <si>
    <t>Globalización con enfoque de sostenibilidad</t>
  </si>
  <si>
    <t>HORECA / Hospitalidad y Servicios</t>
  </si>
  <si>
    <t>Hotel Game</t>
  </si>
  <si>
    <t>Introducción a la gestión hotelera</t>
  </si>
  <si>
    <t>Hotel Virtual</t>
  </si>
  <si>
    <t>Operación hotelera</t>
  </si>
  <si>
    <t>Casa Guadalupe</t>
  </si>
  <si>
    <t>Restauración y hospitalidad (F&amp;B)</t>
  </si>
  <si>
    <t>Five Stars</t>
  </si>
  <si>
    <t>Gestión hotelera avanzada / servicio</t>
  </si>
  <si>
    <t>Innova Hotel</t>
  </si>
  <si>
    <t>Innovación hotelera</t>
  </si>
  <si>
    <t>Hotel Company</t>
  </si>
  <si>
    <t>Dirección hotelera (executive)</t>
  </si>
  <si>
    <t>ESG Management</t>
  </si>
  <si>
    <t>Sweet Berries</t>
  </si>
  <si>
    <t>Negocio sostenible introductorio (agro)</t>
  </si>
  <si>
    <t>ESG Project</t>
  </si>
  <si>
    <t>Proyectos ESG / sostenibilidad</t>
  </si>
  <si>
    <t>Gestión empresarial basada en sostenibilidad</t>
  </si>
  <si>
    <t>Global Management</t>
  </si>
  <si>
    <t>Dirección global sostenible</t>
  </si>
  <si>
    <t>Operaciones</t>
  </si>
  <si>
    <t>Milk Factory</t>
  </si>
  <si>
    <t>Gestión de operaciones y producción (planta láctea)</t>
  </si>
  <si>
    <t>Administración de Empresas  ·  Corporación Universitaria de la Costa (CUC) — presencial, Barranquilla</t>
  </si>
  <si>
    <t>Semestre</t>
  </si>
  <si>
    <t>Materia</t>
  </si>
  <si>
    <t>Área temática</t>
  </si>
  <si>
    <t>Simulador CompanyGame que encaja</t>
  </si>
  <si>
    <t>Nivel CG</t>
  </si>
  <si>
    <t>Grado de ajuste</t>
  </si>
  <si>
    <t>Tipo de simulador a desarrollar (si no encaja / parcial)</t>
  </si>
  <si>
    <t>Observación</t>
  </si>
  <si>
    <t>Razonamiento lógico matemático I</t>
  </si>
  <si>
    <t>Cuantitativa</t>
  </si>
  <si>
    <t>—</t>
  </si>
  <si>
    <t>Herramienta de cálculo aplicado a decisiones administrativas</t>
  </si>
  <si>
    <t>Pensamiento Administrativo</t>
  </si>
  <si>
    <t>Administración</t>
  </si>
  <si>
    <t>Entorno Económico de los Negocios</t>
  </si>
  <si>
    <t>Economía</t>
  </si>
  <si>
    <t>Caso de análisis de entorno macroeconómico</t>
  </si>
  <si>
    <t>Contabilidad financiera</t>
  </si>
  <si>
    <t>Contabilidad</t>
  </si>
  <si>
    <t>Electiva de humanidades I</t>
  </si>
  <si>
    <t>Humanidades</t>
  </si>
  <si>
    <t>BIVE I</t>
  </si>
  <si>
    <t>Bienestar/Formación integral</t>
  </si>
  <si>
    <t>Matemática Financiera</t>
  </si>
  <si>
    <t>Calculadora financiera / casos de valor del dinero en el tiempo</t>
  </si>
  <si>
    <t>Marco Legal Empresarial</t>
  </si>
  <si>
    <t>Jurídica</t>
  </si>
  <si>
    <t>Costos</t>
  </si>
  <si>
    <t>Complementar con módulo específico de costeo por producto</t>
  </si>
  <si>
    <t>Economía Para La Toma De Decisiones</t>
  </si>
  <si>
    <t>Electiva de humanidades II</t>
  </si>
  <si>
    <t>BIVE II</t>
  </si>
  <si>
    <t>Presupuesto</t>
  </si>
  <si>
    <t>Finanzas</t>
  </si>
  <si>
    <t>Complementar con caso de presupuesto maestro</t>
  </si>
  <si>
    <t>Mercadeo Y Creación De Valor</t>
  </si>
  <si>
    <t>Marketing</t>
  </si>
  <si>
    <t>Gestión Organizacional Ágil</t>
  </si>
  <si>
    <t>Tecnologías para la Gestión Empresarial</t>
  </si>
  <si>
    <t>Digital</t>
  </si>
  <si>
    <t>Comportamiento y Gestión Del Talento</t>
  </si>
  <si>
    <t>Talento Humano</t>
  </si>
  <si>
    <t>Simulador de gestión de equipos y clima organizacional</t>
  </si>
  <si>
    <t>Electiva de humanidades III</t>
  </si>
  <si>
    <t>BIVE III</t>
  </si>
  <si>
    <t>Investigación De Mercados</t>
  </si>
  <si>
    <t>Investigación</t>
  </si>
  <si>
    <t>Dinámicas de Integración Global</t>
  </si>
  <si>
    <t>Internacional</t>
  </si>
  <si>
    <t>Gestión De Operaciones y Logística</t>
  </si>
  <si>
    <t>Complementar con módulo de logística de distribución</t>
  </si>
  <si>
    <t>Gerencia Financiera</t>
  </si>
  <si>
    <t>Estadística Para La Gestión</t>
  </si>
  <si>
    <t>Estrategia Y Creación De Valor</t>
  </si>
  <si>
    <t>BIVE IV</t>
  </si>
  <si>
    <t>Transformación Digital e IA</t>
  </si>
  <si>
    <t>Talent Analytics &amp; Strategic HR</t>
  </si>
  <si>
    <t>Simulador de analítica de datos de RR.HH.</t>
  </si>
  <si>
    <t>Dirección Estratégica De Mercadeo</t>
  </si>
  <si>
    <t>Innovation And Business Models</t>
  </si>
  <si>
    <t>Electiva Gerencial I</t>
  </si>
  <si>
    <t>Electiva</t>
  </si>
  <si>
    <t>Contenido variable según la línea gerencial elegida; evaluar caso a caso</t>
  </si>
  <si>
    <t>Suficiencia Segundo Idioma I</t>
  </si>
  <si>
    <t>Idiomas</t>
  </si>
  <si>
    <t>Sustainable Talent and Global Governance</t>
  </si>
  <si>
    <t>Simulador de gobierno corporativo y talento sostenible</t>
  </si>
  <si>
    <t>Innovación Sostenible</t>
  </si>
  <si>
    <t>Sostenibilidad/ESG</t>
  </si>
  <si>
    <t>Gerencia De La Cadena De Suministro</t>
  </si>
  <si>
    <t>Diseño Y Formulación De Proyectos</t>
  </si>
  <si>
    <t>Práctica/Proyecto</t>
  </si>
  <si>
    <t>Simulador de gestión de proyectos (alcance, tiempo, costo)</t>
  </si>
  <si>
    <t>Electiva gerencial II</t>
  </si>
  <si>
    <t>Suficiencia del segundo idioma II</t>
  </si>
  <si>
    <t>Electiva gerencial III</t>
  </si>
  <si>
    <t>Suficiencia en segundo idioma III</t>
  </si>
  <si>
    <t>Electiva de profundización I</t>
  </si>
  <si>
    <t>Contenido variable según la línea de profundización elegida; evaluar caso a caso</t>
  </si>
  <si>
    <t>Electiva de profundización II</t>
  </si>
  <si>
    <t>Electiva de profundización III</t>
  </si>
  <si>
    <t>Opción de grado I</t>
  </si>
  <si>
    <t>Prácticas profesionales</t>
  </si>
  <si>
    <t>Opción de grado II</t>
  </si>
  <si>
    <t>Administración de Servicios de Salud  ·  Corporación Universitaria de la Costa (CUC) — presencial, Barranquilla</t>
  </si>
  <si>
    <t>Fundamentos de Mercadeo</t>
  </si>
  <si>
    <t>Pensamiento lógico matemático</t>
  </si>
  <si>
    <t>Fundamentos administrativos</t>
  </si>
  <si>
    <t>Sistemas de salud</t>
  </si>
  <si>
    <t>Salud</t>
  </si>
  <si>
    <t>Simulador de gestión de una IPS/red hospitalaria</t>
  </si>
  <si>
    <t>Bive I</t>
  </si>
  <si>
    <t>Sistema de Seguridad Social</t>
  </si>
  <si>
    <t>Sistemas de información gerencial</t>
  </si>
  <si>
    <t>Legislación en Salud</t>
  </si>
  <si>
    <t>Salud pública I</t>
  </si>
  <si>
    <t>Bive II</t>
  </si>
  <si>
    <t>Estadística para la toma de decisiones – análisis de datos</t>
  </si>
  <si>
    <t>Salud Pública II</t>
  </si>
  <si>
    <t>Organización y Management</t>
  </si>
  <si>
    <t>Terminología Médica</t>
  </si>
  <si>
    <t>Bive III</t>
  </si>
  <si>
    <t>Administración Estratégica</t>
  </si>
  <si>
    <t>Matemática financiera</t>
  </si>
  <si>
    <t>Servicios asistenciales hospitalarios</t>
  </si>
  <si>
    <t>Simulador de operación de un servicio hospitalario</t>
  </si>
  <si>
    <t>Gestión de la Cadena de Suministro</t>
  </si>
  <si>
    <t>Economía para la Toma de Decisiones</t>
  </si>
  <si>
    <t>Bive IV</t>
  </si>
  <si>
    <t>Gestión de calidad en salud</t>
  </si>
  <si>
    <t>Simulador de gestión de calidad y acreditación en salud</t>
  </si>
  <si>
    <t>Sistemas de Información en Salud</t>
  </si>
  <si>
    <t>Costos y presupuestos en salud</t>
  </si>
  <si>
    <t>Suficiencia en segundo idioma I</t>
  </si>
  <si>
    <t>Procesos de Talento Humano</t>
  </si>
  <si>
    <t>Gestión de la Seguridad y Salud en el Trabajo</t>
  </si>
  <si>
    <t>Contratación en Salud</t>
  </si>
  <si>
    <t>Suficiencia en segundo idioma II</t>
  </si>
  <si>
    <t>Electiva de Profundización I</t>
  </si>
  <si>
    <t>Health Management</t>
  </si>
  <si>
    <t>Simulador de dirección de instituciones prestadoras de salud (IPS)</t>
  </si>
  <si>
    <t>Electiva de Profundización II</t>
  </si>
  <si>
    <t>Electiva de Profundización III</t>
  </si>
  <si>
    <t>Evaluación y control de procesos y servicios de salud</t>
  </si>
  <si>
    <t>Desarrollo Tecnológico en Salud</t>
  </si>
  <si>
    <t>Prácticas</t>
  </si>
  <si>
    <t>Ética Gerencial</t>
  </si>
  <si>
    <t>Ética</t>
  </si>
  <si>
    <t>Contaduría Pública  ·  Corporación Universitaria de la Costa (CUC) — presencial, Barranquilla</t>
  </si>
  <si>
    <t>Contabilidad Financiera I</t>
  </si>
  <si>
    <t>Entorno Empresarial y Contable</t>
  </si>
  <si>
    <t>Electiva de Humanidades I</t>
  </si>
  <si>
    <t>Legislación Comercial</t>
  </si>
  <si>
    <t>Matemáticas</t>
  </si>
  <si>
    <t>Contabilidad Financiera II</t>
  </si>
  <si>
    <t>Electiva de Humanidades II</t>
  </si>
  <si>
    <t>Legislación Laboral</t>
  </si>
  <si>
    <t>Teoría Económica</t>
  </si>
  <si>
    <t>Código de Ética del Ejercicio Profesional</t>
  </si>
  <si>
    <t>Contabilidad Financiera III</t>
  </si>
  <si>
    <t>Electiva de Humanidades III</t>
  </si>
  <si>
    <t>Estadística Organizacional</t>
  </si>
  <si>
    <t>Fundamentos Tributarios</t>
  </si>
  <si>
    <t>Simulador de liquidación de impuestos básicos</t>
  </si>
  <si>
    <t>Sistema de Información Contable</t>
  </si>
  <si>
    <t>Contabilidad Financiera IV</t>
  </si>
  <si>
    <t>Contabilidad Social y Costos Ambientales</t>
  </si>
  <si>
    <t>Gestión Tributaria I</t>
  </si>
  <si>
    <t>Investigación Contable</t>
  </si>
  <si>
    <t>Risk Assesments And Internal Control</t>
  </si>
  <si>
    <t>Simulador de auditoría de riesgos y control interno</t>
  </si>
  <si>
    <t>Auditoría Financiera</t>
  </si>
  <si>
    <t>Simulador de auditoría financiera (papeles de trabajo, hallazgos)</t>
  </si>
  <si>
    <t>Consultoría Contable</t>
  </si>
  <si>
    <t>Costos y Creación de Valor Empresarial</t>
  </si>
  <si>
    <t>Gestión Tributaria II</t>
  </si>
  <si>
    <t>Software de Auditoría y Análisis de Datos</t>
  </si>
  <si>
    <t>Suficiencia en segundo Idioma I</t>
  </si>
  <si>
    <t>Dirección de Costos para la Competitividad Empresarial</t>
  </si>
  <si>
    <t>Electiva Gerencial II</t>
  </si>
  <si>
    <t>Gestión Contable y Financiera Pública</t>
  </si>
  <si>
    <t>Sector Público</t>
  </si>
  <si>
    <t>Modelos de Costeo y Rentabilidad Empresarial</t>
  </si>
  <si>
    <t>Revisoría Fiscal</t>
  </si>
  <si>
    <t>Suficiencia en segundo Idioma II</t>
  </si>
  <si>
    <t>Electiva Gerencial III</t>
  </si>
  <si>
    <t>Opción de Grado II</t>
  </si>
  <si>
    <t>Suficiencia en segundo Idioma III</t>
  </si>
  <si>
    <t>Prácticas Profesionales</t>
  </si>
  <si>
    <t>Mercadeo y Publicidad  ·  Corporación Universitaria de la Costa (CUC) — presencial, Barranquilla</t>
  </si>
  <si>
    <t>Mercadeo y creación de valor</t>
  </si>
  <si>
    <t>Publicidad y creatividad</t>
  </si>
  <si>
    <t>Comunicación</t>
  </si>
  <si>
    <t>Simulador de creación y evaluación de campañas publicitarias</t>
  </si>
  <si>
    <t>Gestión organizacional ágil</t>
  </si>
  <si>
    <t>Razonamiento lógico matemático</t>
  </si>
  <si>
    <t>Cultura del consumidor</t>
  </si>
  <si>
    <t>Estadística para la gestión</t>
  </si>
  <si>
    <t>Semiótica y persuasión publicitaria</t>
  </si>
  <si>
    <t>Estrategia de producto y precio</t>
  </si>
  <si>
    <t>Escritura creativa publicitaria</t>
  </si>
  <si>
    <t>Identidad visual de marca</t>
  </si>
  <si>
    <t>Herramienta de diseño de identidad de marca</t>
  </si>
  <si>
    <t>Entorno económico</t>
  </si>
  <si>
    <t>Costos y presupuestos</t>
  </si>
  <si>
    <t>Estrategia de canales y promoción</t>
  </si>
  <si>
    <t>Estrategia de marca</t>
  </si>
  <si>
    <t>Simulador de gestión estratégica de marca (brand equity)</t>
  </si>
  <si>
    <t>Diseño gráfico digital</t>
  </si>
  <si>
    <t>Advertising Photography</t>
  </si>
  <si>
    <t>Transformación digital e IA</t>
  </si>
  <si>
    <t>Dinámicas de integración global</t>
  </si>
  <si>
    <t>Investigación cuantitativa de mercados</t>
  </si>
  <si>
    <t>Diseño publicitario digital</t>
  </si>
  <si>
    <t>Estrategia digital y social media</t>
  </si>
  <si>
    <t>Simulador de gestión de campañas en redes sociales</t>
  </si>
  <si>
    <t>Innovación sostenible</t>
  </si>
  <si>
    <t>Electiva gerencial I</t>
  </si>
  <si>
    <t>Investigación cualitativa de mercados</t>
  </si>
  <si>
    <t>Dirección estratégica de mercadeo</t>
  </si>
  <si>
    <t>Dirección creativa publicitaria</t>
  </si>
  <si>
    <t>Estrategia y plan de medios</t>
  </si>
  <si>
    <t>Simulador de planificación de medios y presupuesto de pauta</t>
  </si>
  <si>
    <t>Negocios Internacionales  ·  Corporación Universitaria de la Costa (CUC) — presencial, Barranquilla</t>
  </si>
  <si>
    <t>Matemáticas I</t>
  </si>
  <si>
    <t>Negocios internacionales</t>
  </si>
  <si>
    <t>Teoría económica</t>
  </si>
  <si>
    <t>Suficiencia segundo idioma I</t>
  </si>
  <si>
    <t>Análisis de datos financieros</t>
  </si>
  <si>
    <t>Economía para la toma de decisiones</t>
  </si>
  <si>
    <t>Suficiencia de segundo idioma II</t>
  </si>
  <si>
    <t>Estadística para la toma de decisiones</t>
  </si>
  <si>
    <t>Estrategia intercultural global</t>
  </si>
  <si>
    <t>Simulador de negociación y gestión de equipos multiculturales</t>
  </si>
  <si>
    <t>Matemáticas financieras</t>
  </si>
  <si>
    <t>Introducción a los procesos logísticos</t>
  </si>
  <si>
    <t>Comercio Exterior</t>
  </si>
  <si>
    <t>Simulador de cadena logística de comercio exterior</t>
  </si>
  <si>
    <t>Suficiencia de segundo idioma III</t>
  </si>
  <si>
    <t>Relaciones Internacionales</t>
  </si>
  <si>
    <t>Legislación aduanera y cambiaria</t>
  </si>
  <si>
    <t>Gestión de compras e inventarios</t>
  </si>
  <si>
    <t>Finanzas internacionales</t>
  </si>
  <si>
    <t>Suficiencia segundo idioma IV</t>
  </si>
  <si>
    <t>Geopolitics</t>
  </si>
  <si>
    <t>Gerencia de la cadena de suministro</t>
  </si>
  <si>
    <t>Procesos de importación</t>
  </si>
  <si>
    <t>Analítica de datos para la toma de decisiones</t>
  </si>
  <si>
    <t>International Negotiation</t>
  </si>
  <si>
    <t>Simulador de negociación comercial internacional</t>
  </si>
  <si>
    <t>Liderazgo global y gobernanza</t>
  </si>
  <si>
    <t>Procesos de exportación</t>
  </si>
  <si>
    <t>Global marketing</t>
  </si>
  <si>
    <t>International Business Management</t>
  </si>
  <si>
    <t>Sustainable Business Strategies</t>
  </si>
  <si>
    <t>International Entrepreneurship and Innovation</t>
  </si>
  <si>
    <t>Opción a Grado I</t>
  </si>
  <si>
    <t>Práctica Empresarial</t>
  </si>
  <si>
    <t>Opción a Grado II</t>
  </si>
  <si>
    <t xml:space="preserve">ESG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</si>
</sst>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i/>
      <sz val="10"/>
      <color rgb="FF595959"/>
      <name val="Arial"/>
      <charset val="1"/>
    </font>
    <font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b/>
      <sz val="10"/>
      <color rgb="FF1F3864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9C0006"/>
      <name val="Arial"/>
      <charset val="1"/>
    </font>
    <font>
      <sz val="9"/>
      <color rgb="FF595959"/>
      <name val="Arial"/>
      <charset val="1"/>
    </font>
    <font>
      <b/>
      <sz val="13"/>
      <color rgb="FF1F3864"/>
      <name val="Arial"/>
      <charset val="1"/>
    </font>
    <font>
      <i/>
      <sz val="9"/>
      <color rgb="FF595959"/>
      <name val="Arial"/>
      <charset val="1"/>
    </font>
    <font>
      <sz val="10"/>
      <color rgb="FF80808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rgb="FF2E5496"/>
        <bgColor rgb="FF1F3864"/>
      </patternFill>
    </fill>
    <fill>
      <patternFill patternType="solid">
        <fgColor rgb="FFD9E1F2"/>
        <bgColor rgb="FFC6EFCE"/>
      </patternFill>
    </fill>
    <fill>
      <patternFill patternType="solid">
        <fgColor rgb="FFC6EFCE"/>
        <bgColor rgb="FFD9E1F2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0" fontId="7" fillId="0" borderId="0" xfId="0" applyFont="1"/>
    <xf numFmtId="0" fontId="8" fillId="4" borderId="0" xfId="0" applyFont="1" applyFill="1"/>
    <xf numFmtId="0" fontId="5" fillId="0" borderId="0" xfId="0" applyFont="1"/>
    <xf numFmtId="0" fontId="9" fillId="5" borderId="0" xfId="0" applyFont="1" applyFill="1"/>
    <xf numFmtId="0" fontId="10" fillId="6" borderId="0" xfId="0" applyFont="1" applyFill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8"/>
  <sheetViews>
    <sheetView showGridLines="0" zoomScaleNormal="100" workbookViewId="0"/>
  </sheetViews>
  <sheetFormatPr baseColWidth="10" defaultColWidth="8.7109375" defaultRowHeight="15" x14ac:dyDescent="0.25"/>
  <cols>
    <col min="1" max="1" width="2" customWidth="1"/>
    <col min="2" max="2" width="40" customWidth="1"/>
    <col min="3" max="3" width="16" customWidth="1"/>
    <col min="4" max="7" width="15" customWidth="1"/>
  </cols>
  <sheetData>
    <row r="2" spans="2:7" ht="20.25" customHeight="1" x14ac:dyDescent="0.3">
      <c r="B2" s="1" t="s">
        <v>0</v>
      </c>
    </row>
    <row r="3" spans="2:7" ht="15" customHeight="1" x14ac:dyDescent="0.25">
      <c r="B3" s="2" t="s">
        <v>1</v>
      </c>
    </row>
    <row r="4" spans="2:7" ht="15" customHeight="1" x14ac:dyDescent="0.25">
      <c r="B4" s="3" t="s">
        <v>2</v>
      </c>
    </row>
    <row r="6" spans="2:7" ht="25.5" customHeight="1" x14ac:dyDescent="0.25">
      <c r="B6" s="4" t="s">
        <v>3</v>
      </c>
      <c r="C6" s="4" t="s">
        <v>4</v>
      </c>
      <c r="D6" s="4" t="s">
        <v>5</v>
      </c>
      <c r="E6" s="4" t="s">
        <v>6</v>
      </c>
      <c r="F6" s="4" t="s">
        <v>7</v>
      </c>
      <c r="G6" s="4" t="s">
        <v>8</v>
      </c>
    </row>
    <row r="7" spans="2:7" x14ac:dyDescent="0.25">
      <c r="B7" s="5" t="s">
        <v>9</v>
      </c>
      <c r="C7" s="6">
        <f>COUNTA('Administración de Empresas'!$B$3:$B$200)</f>
        <v>46</v>
      </c>
      <c r="D7" s="6">
        <f>COUNTIF('Administración de Empresas'!$F$3:$F$200,"Encaje perfecto")</f>
        <v>6</v>
      </c>
      <c r="E7" s="6">
        <f>COUNTIF('Administración de Empresas'!$F$3:$F$200,"Encaje parcial")</f>
        <v>3</v>
      </c>
      <c r="F7" s="6">
        <f>COUNTIF('Administración de Empresas'!$F$3:$F$200,"No encaja")</f>
        <v>37</v>
      </c>
      <c r="G7" s="7">
        <f t="shared" ref="G7:G12" si="0">IFERROR((D7+E7)/C7,0)</f>
        <v>0.19565217391304349</v>
      </c>
    </row>
    <row r="8" spans="2:7" x14ac:dyDescent="0.25">
      <c r="B8" s="5" t="s">
        <v>10</v>
      </c>
      <c r="C8" s="6">
        <f>COUNTA('Adm. de Servicios de Salud'!$B$3:$B$200)</f>
        <v>46</v>
      </c>
      <c r="D8" s="6">
        <f>COUNTIF('Adm. de Servicios de Salud'!$F$3:$F$200,"Encaje perfecto")</f>
        <v>3</v>
      </c>
      <c r="E8" s="6">
        <f>COUNTIF('Adm. de Servicios de Salud'!$F$3:$F$200,"Encaje parcial")</f>
        <v>2</v>
      </c>
      <c r="F8" s="6">
        <f>COUNTIF('Adm. de Servicios de Salud'!$F$3:$F$200,"No encaja")</f>
        <v>41</v>
      </c>
      <c r="G8" s="7">
        <f t="shared" si="0"/>
        <v>0.10869565217391304</v>
      </c>
    </row>
    <row r="9" spans="2:7" x14ac:dyDescent="0.25">
      <c r="B9" s="5" t="s">
        <v>11</v>
      </c>
      <c r="C9" s="6">
        <f>COUNTA('Contaduría Pública'!$B$3:$B$200)</f>
        <v>48</v>
      </c>
      <c r="D9" s="6">
        <f>COUNTIF('Contaduría Pública'!$F$3:$F$200,"Encaje perfecto")</f>
        <v>2</v>
      </c>
      <c r="E9" s="6">
        <f>COUNTIF('Contaduría Pública'!$F$3:$F$200,"Encaje parcial")</f>
        <v>2</v>
      </c>
      <c r="F9" s="6">
        <f>COUNTIF('Contaduría Pública'!$F$3:$F$200,"No encaja")</f>
        <v>44</v>
      </c>
      <c r="G9" s="7">
        <f t="shared" si="0"/>
        <v>8.3333333333333329E-2</v>
      </c>
    </row>
    <row r="10" spans="2:7" x14ac:dyDescent="0.25">
      <c r="B10" s="5" t="s">
        <v>12</v>
      </c>
      <c r="C10" s="6">
        <f>COUNTA('Mercadeo y Publicidad'!$B$3:$B$200)</f>
        <v>46</v>
      </c>
      <c r="D10" s="6">
        <f>COUNTIF('Mercadeo y Publicidad'!$F$3:$F$200,"Encaje perfecto")</f>
        <v>4</v>
      </c>
      <c r="E10" s="6">
        <f>COUNTIF('Mercadeo y Publicidad'!$F$3:$F$200,"Encaje parcial")</f>
        <v>4</v>
      </c>
      <c r="F10" s="6">
        <f>COUNTIF('Mercadeo y Publicidad'!$F$3:$F$200,"No encaja")</f>
        <v>38</v>
      </c>
      <c r="G10" s="7">
        <f t="shared" si="0"/>
        <v>0.17391304347826086</v>
      </c>
    </row>
    <row r="11" spans="2:7" x14ac:dyDescent="0.25">
      <c r="B11" s="5" t="s">
        <v>13</v>
      </c>
      <c r="C11" s="6">
        <f>COUNTA('Negocios Internacionales'!$B$3:$B$200)</f>
        <v>47</v>
      </c>
      <c r="D11" s="6">
        <f>COUNTIF('Negocios Internacionales'!$F$3:$F$200,"Encaje perfecto")</f>
        <v>3</v>
      </c>
      <c r="E11" s="6">
        <f>COUNTIF('Negocios Internacionales'!$F$3:$F$200,"Encaje parcial")</f>
        <v>2</v>
      </c>
      <c r="F11" s="6">
        <f>COUNTIF('Negocios Internacionales'!$F$3:$F$200,"No encaja")</f>
        <v>42</v>
      </c>
      <c r="G11" s="7">
        <f t="shared" si="0"/>
        <v>0.10638297872340426</v>
      </c>
    </row>
    <row r="12" spans="2:7" x14ac:dyDescent="0.25">
      <c r="B12" s="8" t="s">
        <v>14</v>
      </c>
      <c r="C12" s="9">
        <f>SUM(C7:C11)</f>
        <v>233</v>
      </c>
      <c r="D12" s="9">
        <f>SUM(D7:D11)</f>
        <v>18</v>
      </c>
      <c r="E12" s="9">
        <f>SUM(E7:E11)</f>
        <v>13</v>
      </c>
      <c r="F12" s="9">
        <f>SUM(F7:F11)</f>
        <v>202</v>
      </c>
      <c r="G12" s="10">
        <f t="shared" si="0"/>
        <v>0.13304721030042918</v>
      </c>
    </row>
    <row r="14" spans="2:7" x14ac:dyDescent="0.25">
      <c r="B14" s="11" t="s">
        <v>15</v>
      </c>
    </row>
    <row r="15" spans="2:7" x14ac:dyDescent="0.25">
      <c r="B15" s="12" t="s">
        <v>5</v>
      </c>
      <c r="C15" s="13" t="s">
        <v>16</v>
      </c>
    </row>
    <row r="16" spans="2:7" x14ac:dyDescent="0.25">
      <c r="B16" s="14" t="s">
        <v>6</v>
      </c>
      <c r="C16" s="13" t="s">
        <v>17</v>
      </c>
    </row>
    <row r="17" spans="2:3" x14ac:dyDescent="0.25">
      <c r="B17" s="15" t="s">
        <v>18</v>
      </c>
      <c r="C17" s="13" t="s">
        <v>19</v>
      </c>
    </row>
    <row r="19" spans="2:3" x14ac:dyDescent="0.25">
      <c r="B19" s="11" t="s">
        <v>20</v>
      </c>
    </row>
    <row r="20" spans="2:3" x14ac:dyDescent="0.25">
      <c r="B20" s="16" t="s">
        <v>21</v>
      </c>
    </row>
    <row r="21" spans="2:3" x14ac:dyDescent="0.25">
      <c r="B21" s="16" t="s">
        <v>22</v>
      </c>
    </row>
    <row r="22" spans="2:3" x14ac:dyDescent="0.25">
      <c r="B22" s="16" t="s">
        <v>23</v>
      </c>
    </row>
    <row r="23" spans="2:3" x14ac:dyDescent="0.25">
      <c r="B23" s="16" t="s">
        <v>24</v>
      </c>
    </row>
    <row r="24" spans="2:3" x14ac:dyDescent="0.25">
      <c r="B24" s="16" t="s">
        <v>25</v>
      </c>
    </row>
    <row r="25" spans="2:3" x14ac:dyDescent="0.25">
      <c r="B25" s="16" t="s">
        <v>26</v>
      </c>
    </row>
    <row r="26" spans="2:3" x14ac:dyDescent="0.25">
      <c r="B26" s="16" t="s">
        <v>27</v>
      </c>
    </row>
    <row r="27" spans="2:3" x14ac:dyDescent="0.25">
      <c r="B27" s="16" t="s">
        <v>28</v>
      </c>
    </row>
    <row r="28" spans="2:3" x14ac:dyDescent="0.25">
      <c r="B28" s="16" t="s">
        <v>29</v>
      </c>
    </row>
    <row r="29" spans="2:3" x14ac:dyDescent="0.25">
      <c r="B29" s="16" t="s">
        <v>30</v>
      </c>
    </row>
    <row r="30" spans="2:3" x14ac:dyDescent="0.25">
      <c r="B30" s="16" t="s">
        <v>31</v>
      </c>
    </row>
    <row r="31" spans="2:3" x14ac:dyDescent="0.25">
      <c r="B31" s="16" t="s">
        <v>32</v>
      </c>
    </row>
    <row r="32" spans="2:3" x14ac:dyDescent="0.25">
      <c r="B32" s="16" t="s">
        <v>33</v>
      </c>
    </row>
    <row r="33" spans="2:2" x14ac:dyDescent="0.25">
      <c r="B33" s="16" t="s">
        <v>34</v>
      </c>
    </row>
    <row r="34" spans="2:2" x14ac:dyDescent="0.25">
      <c r="B34" s="16" t="s">
        <v>35</v>
      </c>
    </row>
    <row r="35" spans="2:2" x14ac:dyDescent="0.25">
      <c r="B35" s="16" t="s">
        <v>36</v>
      </c>
    </row>
    <row r="36" spans="2:2" x14ac:dyDescent="0.25">
      <c r="B36" s="16" t="s">
        <v>37</v>
      </c>
    </row>
    <row r="37" spans="2:2" x14ac:dyDescent="0.25">
      <c r="B37" s="16" t="s">
        <v>38</v>
      </c>
    </row>
    <row r="38" spans="2:2" x14ac:dyDescent="0.25">
      <c r="B38" s="16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4"/>
  <sheetViews>
    <sheetView showGridLines="0" zoomScaleNormal="100" workbookViewId="0">
      <pane ySplit="3" topLeftCell="A4" activePane="bottomLeft" state="frozen"/>
      <selection pane="bottomLeft"/>
    </sheetView>
  </sheetViews>
  <sheetFormatPr baseColWidth="10" defaultColWidth="8.7109375" defaultRowHeight="15" x14ac:dyDescent="0.25"/>
  <cols>
    <col min="1" max="1" width="26" customWidth="1"/>
    <col min="2" max="2" width="30" customWidth="1"/>
    <col min="3" max="3" width="14" customWidth="1"/>
    <col min="4" max="4" width="60" customWidth="1"/>
  </cols>
  <sheetData>
    <row r="1" spans="1:4" ht="16.5" customHeight="1" x14ac:dyDescent="0.25">
      <c r="A1" s="17" t="s">
        <v>40</v>
      </c>
    </row>
    <row r="2" spans="1:4" x14ac:dyDescent="0.25">
      <c r="A2" s="18" t="s">
        <v>41</v>
      </c>
    </row>
    <row r="3" spans="1:4" ht="30" customHeight="1" x14ac:dyDescent="0.25">
      <c r="A3" s="4" t="s">
        <v>42</v>
      </c>
      <c r="B3" s="4" t="s">
        <v>43</v>
      </c>
      <c r="C3" s="4" t="s">
        <v>44</v>
      </c>
      <c r="D3" s="4" t="s">
        <v>45</v>
      </c>
    </row>
    <row r="4" spans="1:4" x14ac:dyDescent="0.25">
      <c r="A4" s="19" t="s">
        <v>46</v>
      </c>
      <c r="B4" s="19" t="s">
        <v>47</v>
      </c>
      <c r="C4" s="19" t="s">
        <v>48</v>
      </c>
      <c r="D4" s="19" t="s">
        <v>49</v>
      </c>
    </row>
    <row r="5" spans="1:4" x14ac:dyDescent="0.25">
      <c r="A5" s="19" t="s">
        <v>46</v>
      </c>
      <c r="B5" s="19" t="s">
        <v>50</v>
      </c>
      <c r="C5" s="19" t="s">
        <v>48</v>
      </c>
      <c r="D5" s="19" t="s">
        <v>51</v>
      </c>
    </row>
    <row r="6" spans="1:4" x14ac:dyDescent="0.25">
      <c r="A6" s="19" t="s">
        <v>46</v>
      </c>
      <c r="B6" s="19" t="s">
        <v>52</v>
      </c>
      <c r="C6" s="19" t="s">
        <v>48</v>
      </c>
      <c r="D6" s="19" t="s">
        <v>53</v>
      </c>
    </row>
    <row r="7" spans="1:4" x14ac:dyDescent="0.25">
      <c r="A7" s="19" t="s">
        <v>46</v>
      </c>
      <c r="B7" s="19" t="s">
        <v>54</v>
      </c>
      <c r="C7" s="19" t="s">
        <v>55</v>
      </c>
      <c r="D7" s="19" t="s">
        <v>56</v>
      </c>
    </row>
    <row r="8" spans="1:4" x14ac:dyDescent="0.25">
      <c r="A8" s="19" t="s">
        <v>46</v>
      </c>
      <c r="B8" s="19" t="s">
        <v>57</v>
      </c>
      <c r="C8" s="19" t="s">
        <v>58</v>
      </c>
      <c r="D8" s="19" t="s">
        <v>59</v>
      </c>
    </row>
    <row r="9" spans="1:4" x14ac:dyDescent="0.25">
      <c r="A9" s="19" t="s">
        <v>46</v>
      </c>
      <c r="B9" s="19" t="s">
        <v>60</v>
      </c>
      <c r="C9" s="19" t="s">
        <v>61</v>
      </c>
      <c r="D9" s="19" t="s">
        <v>62</v>
      </c>
    </row>
    <row r="10" spans="1:4" x14ac:dyDescent="0.25">
      <c r="A10" s="19" t="s">
        <v>63</v>
      </c>
      <c r="B10" s="19" t="s">
        <v>64</v>
      </c>
      <c r="C10" s="19" t="s">
        <v>48</v>
      </c>
      <c r="D10" s="19" t="s">
        <v>65</v>
      </c>
    </row>
    <row r="11" spans="1:4" x14ac:dyDescent="0.25">
      <c r="A11" s="19" t="s">
        <v>63</v>
      </c>
      <c r="B11" s="19" t="s">
        <v>66</v>
      </c>
      <c r="C11" s="19" t="s">
        <v>48</v>
      </c>
      <c r="D11" s="19" t="s">
        <v>67</v>
      </c>
    </row>
    <row r="12" spans="1:4" x14ac:dyDescent="0.25">
      <c r="A12" s="19" t="s">
        <v>63</v>
      </c>
      <c r="B12" s="19" t="s">
        <v>68</v>
      </c>
      <c r="C12" s="19" t="s">
        <v>55</v>
      </c>
      <c r="D12" s="19" t="s">
        <v>69</v>
      </c>
    </row>
    <row r="13" spans="1:4" x14ac:dyDescent="0.25">
      <c r="A13" s="19" t="s">
        <v>63</v>
      </c>
      <c r="B13" s="19" t="s">
        <v>70</v>
      </c>
      <c r="C13" s="19" t="s">
        <v>55</v>
      </c>
      <c r="D13" s="19" t="s">
        <v>71</v>
      </c>
    </row>
    <row r="14" spans="1:4" x14ac:dyDescent="0.25">
      <c r="A14" s="19" t="s">
        <v>63</v>
      </c>
      <c r="B14" s="19" t="s">
        <v>72</v>
      </c>
      <c r="C14" s="19" t="s">
        <v>58</v>
      </c>
      <c r="D14" s="19" t="s">
        <v>73</v>
      </c>
    </row>
    <row r="15" spans="1:4" x14ac:dyDescent="0.25">
      <c r="A15" s="19" t="s">
        <v>63</v>
      </c>
      <c r="B15" s="19" t="s">
        <v>74</v>
      </c>
      <c r="C15" s="19" t="s">
        <v>58</v>
      </c>
      <c r="D15" s="19" t="s">
        <v>75</v>
      </c>
    </row>
    <row r="16" spans="1:4" x14ac:dyDescent="0.25">
      <c r="A16" s="19" t="s">
        <v>63</v>
      </c>
      <c r="B16" s="19" t="s">
        <v>76</v>
      </c>
      <c r="C16" s="19" t="s">
        <v>61</v>
      </c>
      <c r="D16" s="19" t="s">
        <v>77</v>
      </c>
    </row>
    <row r="17" spans="1:4" x14ac:dyDescent="0.25">
      <c r="A17" s="19" t="s">
        <v>78</v>
      </c>
      <c r="B17" s="19" t="s">
        <v>79</v>
      </c>
      <c r="C17" s="19" t="s">
        <v>48</v>
      </c>
      <c r="D17" s="19" t="s">
        <v>80</v>
      </c>
    </row>
    <row r="18" spans="1:4" x14ac:dyDescent="0.25">
      <c r="A18" s="19" t="s">
        <v>78</v>
      </c>
      <c r="B18" s="19" t="s">
        <v>81</v>
      </c>
      <c r="C18" s="19" t="s">
        <v>82</v>
      </c>
      <c r="D18" s="19" t="s">
        <v>83</v>
      </c>
    </row>
    <row r="19" spans="1:4" x14ac:dyDescent="0.25">
      <c r="A19" s="19" t="s">
        <v>78</v>
      </c>
      <c r="B19" s="19" t="s">
        <v>84</v>
      </c>
      <c r="C19" s="19" t="s">
        <v>55</v>
      </c>
      <c r="D19" s="19" t="s">
        <v>85</v>
      </c>
    </row>
    <row r="20" spans="1:4" x14ac:dyDescent="0.25">
      <c r="A20" s="19" t="s">
        <v>78</v>
      </c>
      <c r="B20" s="19" t="s">
        <v>86</v>
      </c>
      <c r="C20" s="19" t="s">
        <v>55</v>
      </c>
      <c r="D20" s="19" t="s">
        <v>87</v>
      </c>
    </row>
    <row r="21" spans="1:4" x14ac:dyDescent="0.25">
      <c r="A21" s="19" t="s">
        <v>78</v>
      </c>
      <c r="B21" s="19" t="s">
        <v>88</v>
      </c>
      <c r="C21" s="19" t="s">
        <v>58</v>
      </c>
      <c r="D21" s="19" t="s">
        <v>89</v>
      </c>
    </row>
    <row r="22" spans="1:4" x14ac:dyDescent="0.25">
      <c r="A22" s="19" t="s">
        <v>78</v>
      </c>
      <c r="B22" s="19" t="s">
        <v>90</v>
      </c>
      <c r="C22" s="19" t="s">
        <v>61</v>
      </c>
      <c r="D22" s="19" t="s">
        <v>91</v>
      </c>
    </row>
    <row r="23" spans="1:4" x14ac:dyDescent="0.25">
      <c r="A23" s="19" t="s">
        <v>92</v>
      </c>
      <c r="B23" s="19" t="s">
        <v>93</v>
      </c>
      <c r="C23" s="19" t="s">
        <v>55</v>
      </c>
      <c r="D23" s="19" t="s">
        <v>94</v>
      </c>
    </row>
    <row r="24" spans="1:4" x14ac:dyDescent="0.25">
      <c r="A24" s="19" t="s">
        <v>92</v>
      </c>
      <c r="B24" s="19" t="s">
        <v>95</v>
      </c>
      <c r="C24" s="19" t="s">
        <v>58</v>
      </c>
      <c r="D24" s="19" t="s">
        <v>96</v>
      </c>
    </row>
    <row r="25" spans="1:4" x14ac:dyDescent="0.25">
      <c r="A25" s="19" t="s">
        <v>92</v>
      </c>
      <c r="B25" s="19" t="s">
        <v>97</v>
      </c>
      <c r="C25" s="19" t="s">
        <v>58</v>
      </c>
      <c r="D25" s="19" t="s">
        <v>98</v>
      </c>
    </row>
    <row r="26" spans="1:4" x14ac:dyDescent="0.25">
      <c r="A26" s="19" t="s">
        <v>92</v>
      </c>
      <c r="B26" s="19" t="s">
        <v>99</v>
      </c>
      <c r="C26" s="19" t="s">
        <v>61</v>
      </c>
      <c r="D26" s="19" t="s">
        <v>100</v>
      </c>
    </row>
    <row r="27" spans="1:4" x14ac:dyDescent="0.25">
      <c r="A27" s="19" t="s">
        <v>101</v>
      </c>
      <c r="B27" s="19" t="s">
        <v>102</v>
      </c>
      <c r="C27" s="19" t="s">
        <v>55</v>
      </c>
      <c r="D27" s="19" t="s">
        <v>103</v>
      </c>
    </row>
    <row r="28" spans="1:4" x14ac:dyDescent="0.25">
      <c r="A28" s="19" t="s">
        <v>101</v>
      </c>
      <c r="B28" s="19" t="s">
        <v>104</v>
      </c>
      <c r="C28" s="19" t="s">
        <v>55</v>
      </c>
      <c r="D28" s="19" t="s">
        <v>105</v>
      </c>
    </row>
    <row r="29" spans="1:4" x14ac:dyDescent="0.25">
      <c r="A29" s="19" t="s">
        <v>101</v>
      </c>
      <c r="B29" s="19" t="s">
        <v>106</v>
      </c>
      <c r="C29" s="19" t="s">
        <v>55</v>
      </c>
      <c r="D29" s="19" t="s">
        <v>107</v>
      </c>
    </row>
    <row r="30" spans="1:4" x14ac:dyDescent="0.25">
      <c r="A30" s="19" t="s">
        <v>101</v>
      </c>
      <c r="B30" s="19" t="s">
        <v>108</v>
      </c>
      <c r="C30" s="19" t="s">
        <v>58</v>
      </c>
      <c r="D30" s="19" t="s">
        <v>109</v>
      </c>
    </row>
    <row r="31" spans="1:4" x14ac:dyDescent="0.25">
      <c r="A31" s="19" t="s">
        <v>101</v>
      </c>
      <c r="B31" s="19" t="s">
        <v>110</v>
      </c>
      <c r="C31" s="19" t="s">
        <v>58</v>
      </c>
      <c r="D31" s="19" t="s">
        <v>111</v>
      </c>
    </row>
    <row r="32" spans="1:4" x14ac:dyDescent="0.25">
      <c r="A32" s="19" t="s">
        <v>101</v>
      </c>
      <c r="B32" s="19" t="s">
        <v>112</v>
      </c>
      <c r="C32" s="19" t="s">
        <v>61</v>
      </c>
      <c r="D32" s="19" t="s">
        <v>113</v>
      </c>
    </row>
    <row r="33" spans="1:4" x14ac:dyDescent="0.25">
      <c r="A33" s="19" t="s">
        <v>101</v>
      </c>
      <c r="B33" s="19" t="s">
        <v>114</v>
      </c>
      <c r="C33" s="19" t="s">
        <v>61</v>
      </c>
      <c r="D33" s="19" t="s">
        <v>115</v>
      </c>
    </row>
    <row r="34" spans="1:4" ht="25.5" x14ac:dyDescent="0.25">
      <c r="A34" s="19" t="s">
        <v>116</v>
      </c>
      <c r="B34" s="19" t="s">
        <v>117</v>
      </c>
      <c r="C34" s="19" t="s">
        <v>48</v>
      </c>
      <c r="D34" s="19" t="s">
        <v>118</v>
      </c>
    </row>
    <row r="35" spans="1:4" ht="25.5" x14ac:dyDescent="0.25">
      <c r="A35" s="19" t="s">
        <v>116</v>
      </c>
      <c r="B35" s="19" t="s">
        <v>119</v>
      </c>
      <c r="C35" s="19" t="s">
        <v>48</v>
      </c>
      <c r="D35" s="19" t="s">
        <v>120</v>
      </c>
    </row>
    <row r="36" spans="1:4" ht="25.5" x14ac:dyDescent="0.25">
      <c r="A36" s="19" t="s">
        <v>116</v>
      </c>
      <c r="B36" s="19" t="s">
        <v>121</v>
      </c>
      <c r="C36" s="19" t="s">
        <v>55</v>
      </c>
      <c r="D36" s="19" t="s">
        <v>122</v>
      </c>
    </row>
    <row r="37" spans="1:4" ht="25.5" x14ac:dyDescent="0.25">
      <c r="A37" s="19" t="s">
        <v>116</v>
      </c>
      <c r="B37" s="19" t="s">
        <v>123</v>
      </c>
      <c r="C37" s="19" t="s">
        <v>58</v>
      </c>
      <c r="D37" s="19" t="s">
        <v>124</v>
      </c>
    </row>
    <row r="38" spans="1:4" ht="25.5" x14ac:dyDescent="0.25">
      <c r="A38" s="19" t="s">
        <v>116</v>
      </c>
      <c r="B38" s="19" t="s">
        <v>125</v>
      </c>
      <c r="C38" s="19" t="s">
        <v>61</v>
      </c>
      <c r="D38" s="19" t="s">
        <v>126</v>
      </c>
    </row>
    <row r="39" spans="1:4" ht="25.5" x14ac:dyDescent="0.25">
      <c r="A39" s="19" t="s">
        <v>116</v>
      </c>
      <c r="B39" s="19" t="s">
        <v>127</v>
      </c>
      <c r="C39" s="19" t="s">
        <v>61</v>
      </c>
      <c r="D39" s="19" t="s">
        <v>128</v>
      </c>
    </row>
    <row r="40" spans="1:4" x14ac:dyDescent="0.25">
      <c r="A40" s="19" t="s">
        <v>129</v>
      </c>
      <c r="B40" s="19" t="s">
        <v>130</v>
      </c>
      <c r="C40" s="19" t="s">
        <v>48</v>
      </c>
      <c r="D40" s="19" t="s">
        <v>131</v>
      </c>
    </row>
    <row r="41" spans="1:4" x14ac:dyDescent="0.25">
      <c r="A41" s="19" t="s">
        <v>129</v>
      </c>
      <c r="B41" s="19" t="s">
        <v>132</v>
      </c>
      <c r="C41" s="19" t="s">
        <v>55</v>
      </c>
      <c r="D41" s="19" t="s">
        <v>133</v>
      </c>
    </row>
    <row r="42" spans="1:4" x14ac:dyDescent="0.25">
      <c r="A42" s="19" t="s">
        <v>129</v>
      </c>
      <c r="B42" s="19" t="s">
        <v>129</v>
      </c>
      <c r="C42" s="19" t="s">
        <v>58</v>
      </c>
      <c r="D42" s="19" t="s">
        <v>134</v>
      </c>
    </row>
    <row r="43" spans="1:4" x14ac:dyDescent="0.25">
      <c r="A43" s="19" t="s">
        <v>129</v>
      </c>
      <c r="B43" s="19" t="s">
        <v>135</v>
      </c>
      <c r="C43" s="19" t="s">
        <v>61</v>
      </c>
      <c r="D43" s="19" t="s">
        <v>136</v>
      </c>
    </row>
    <row r="44" spans="1:4" x14ac:dyDescent="0.25">
      <c r="A44" s="19" t="s">
        <v>137</v>
      </c>
      <c r="B44" s="19" t="s">
        <v>138</v>
      </c>
      <c r="C44" s="19" t="s">
        <v>58</v>
      </c>
      <c r="D44" s="19" t="s">
        <v>139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8"/>
  <sheetViews>
    <sheetView showGridLines="0" zoomScaleNormal="100" workbookViewId="0">
      <pane ySplit="2" topLeftCell="A3" activePane="bottomLeft" state="frozen"/>
      <selection pane="bottomLeft" activeCell="D9" sqref="D9:F9"/>
    </sheetView>
  </sheetViews>
  <sheetFormatPr baseColWidth="10" defaultColWidth="8.710937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customHeight="1" x14ac:dyDescent="0.25">
      <c r="A1" s="17" t="s">
        <v>140</v>
      </c>
    </row>
    <row r="2" spans="1:8" ht="30" customHeight="1" x14ac:dyDescent="0.2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</row>
    <row r="3" spans="1:8" ht="25.5" customHeight="1" x14ac:dyDescent="0.25">
      <c r="A3" s="20">
        <v>1</v>
      </c>
      <c r="B3" s="19" t="s">
        <v>149</v>
      </c>
      <c r="C3" s="19" t="s">
        <v>150</v>
      </c>
      <c r="D3" s="21" t="s">
        <v>151</v>
      </c>
      <c r="E3" s="22" t="s">
        <v>151</v>
      </c>
      <c r="F3" s="23" t="s">
        <v>18</v>
      </c>
      <c r="G3" s="24" t="s">
        <v>152</v>
      </c>
      <c r="H3" s="19"/>
    </row>
    <row r="4" spans="1:8" x14ac:dyDescent="0.25">
      <c r="A4" s="20">
        <v>1</v>
      </c>
      <c r="B4" s="19" t="s">
        <v>153</v>
      </c>
      <c r="C4" s="19" t="s">
        <v>154</v>
      </c>
      <c r="D4" s="25" t="s">
        <v>47</v>
      </c>
      <c r="E4" s="20" t="s">
        <v>48</v>
      </c>
      <c r="F4" s="26" t="s">
        <v>5</v>
      </c>
      <c r="G4" s="24"/>
      <c r="H4" s="19"/>
    </row>
    <row r="5" spans="1:8" x14ac:dyDescent="0.25">
      <c r="A5" s="20">
        <v>1</v>
      </c>
      <c r="B5" s="19" t="s">
        <v>155</v>
      </c>
      <c r="C5" s="19" t="s">
        <v>156</v>
      </c>
      <c r="D5" s="21" t="s">
        <v>151</v>
      </c>
      <c r="E5" s="22" t="s">
        <v>151</v>
      </c>
      <c r="F5" s="23" t="s">
        <v>18</v>
      </c>
      <c r="G5" s="24" t="s">
        <v>157</v>
      </c>
      <c r="H5" s="19"/>
    </row>
    <row r="6" spans="1:8" x14ac:dyDescent="0.25">
      <c r="A6" s="20">
        <v>1</v>
      </c>
      <c r="B6" s="19" t="s">
        <v>158</v>
      </c>
      <c r="C6" s="19" t="s">
        <v>159</v>
      </c>
      <c r="D6" s="25" t="s">
        <v>79</v>
      </c>
      <c r="E6" s="20" t="s">
        <v>48</v>
      </c>
      <c r="F6" s="26" t="s">
        <v>5</v>
      </c>
      <c r="G6" s="24"/>
      <c r="H6" s="19"/>
    </row>
    <row r="7" spans="1:8" x14ac:dyDescent="0.25">
      <c r="A7" s="20">
        <v>1</v>
      </c>
      <c r="B7" s="19" t="s">
        <v>160</v>
      </c>
      <c r="C7" s="19" t="s">
        <v>161</v>
      </c>
      <c r="D7" s="21" t="s">
        <v>151</v>
      </c>
      <c r="E7" s="22" t="s">
        <v>151</v>
      </c>
      <c r="F7" s="23" t="s">
        <v>18</v>
      </c>
      <c r="G7" s="24"/>
      <c r="H7" s="19"/>
    </row>
    <row r="8" spans="1:8" x14ac:dyDescent="0.25">
      <c r="A8" s="20">
        <v>1</v>
      </c>
      <c r="B8" s="19" t="s">
        <v>162</v>
      </c>
      <c r="C8" s="19" t="s">
        <v>163</v>
      </c>
      <c r="D8" s="21" t="s">
        <v>151</v>
      </c>
      <c r="E8" s="22" t="s">
        <v>151</v>
      </c>
      <c r="F8" s="23" t="s">
        <v>18</v>
      </c>
      <c r="G8" s="24"/>
      <c r="H8" s="19"/>
    </row>
    <row r="9" spans="1:8" ht="25.5" customHeight="1" x14ac:dyDescent="0.25">
      <c r="A9" s="20">
        <v>2</v>
      </c>
      <c r="B9" s="19" t="s">
        <v>164</v>
      </c>
      <c r="C9" s="19" t="s">
        <v>150</v>
      </c>
      <c r="D9" s="25" t="s">
        <v>81</v>
      </c>
      <c r="E9" s="20" t="s">
        <v>48</v>
      </c>
      <c r="F9" s="27" t="s">
        <v>6</v>
      </c>
      <c r="G9" s="24" t="s">
        <v>165</v>
      </c>
      <c r="H9" s="19"/>
    </row>
    <row r="10" spans="1:8" x14ac:dyDescent="0.25">
      <c r="A10" s="20">
        <v>2</v>
      </c>
      <c r="B10" s="19" t="s">
        <v>166</v>
      </c>
      <c r="C10" s="19" t="s">
        <v>167</v>
      </c>
      <c r="D10" s="21" t="s">
        <v>151</v>
      </c>
      <c r="E10" s="22" t="s">
        <v>151</v>
      </c>
      <c r="F10" s="23" t="s">
        <v>18</v>
      </c>
      <c r="G10" s="24"/>
      <c r="H10" s="19"/>
    </row>
    <row r="11" spans="1:8" ht="25.5" customHeight="1" x14ac:dyDescent="0.25">
      <c r="A11" s="20">
        <v>2</v>
      </c>
      <c r="B11" s="19" t="s">
        <v>168</v>
      </c>
      <c r="C11" s="19" t="s">
        <v>159</v>
      </c>
      <c r="D11" s="21" t="s">
        <v>151</v>
      </c>
      <c r="E11" s="22" t="s">
        <v>151</v>
      </c>
      <c r="F11" s="23" t="s">
        <v>18</v>
      </c>
      <c r="G11" s="24" t="s">
        <v>169</v>
      </c>
      <c r="H11" s="19"/>
    </row>
    <row r="12" spans="1:8" x14ac:dyDescent="0.25">
      <c r="A12" s="20">
        <v>2</v>
      </c>
      <c r="B12" s="19" t="s">
        <v>170</v>
      </c>
      <c r="C12" s="19" t="s">
        <v>156</v>
      </c>
      <c r="D12" s="21" t="s">
        <v>151</v>
      </c>
      <c r="E12" s="22" t="s">
        <v>151</v>
      </c>
      <c r="F12" s="23" t="s">
        <v>18</v>
      </c>
      <c r="G12" s="24"/>
      <c r="H12" s="19"/>
    </row>
    <row r="13" spans="1:8" x14ac:dyDescent="0.25">
      <c r="A13" s="20">
        <v>2</v>
      </c>
      <c r="B13" s="19" t="s">
        <v>171</v>
      </c>
      <c r="C13" s="19" t="s">
        <v>161</v>
      </c>
      <c r="D13" s="21" t="s">
        <v>151</v>
      </c>
      <c r="E13" s="22" t="s">
        <v>151</v>
      </c>
      <c r="F13" s="23" t="s">
        <v>18</v>
      </c>
      <c r="G13" s="24"/>
      <c r="H13" s="19"/>
    </row>
    <row r="14" spans="1:8" x14ac:dyDescent="0.25">
      <c r="A14" s="20">
        <v>2</v>
      </c>
      <c r="B14" s="19" t="s">
        <v>172</v>
      </c>
      <c r="C14" s="19" t="s">
        <v>163</v>
      </c>
      <c r="D14" s="21" t="s">
        <v>151</v>
      </c>
      <c r="E14" s="22" t="s">
        <v>151</v>
      </c>
      <c r="F14" s="23" t="s">
        <v>18</v>
      </c>
      <c r="G14" s="24"/>
      <c r="H14" s="19"/>
    </row>
    <row r="15" spans="1:8" x14ac:dyDescent="0.25">
      <c r="A15" s="20">
        <v>3</v>
      </c>
      <c r="B15" s="19" t="s">
        <v>173</v>
      </c>
      <c r="C15" s="19" t="s">
        <v>174</v>
      </c>
      <c r="D15" s="21" t="s">
        <v>151</v>
      </c>
      <c r="E15" s="22" t="s">
        <v>151</v>
      </c>
      <c r="F15" s="23" t="s">
        <v>18</v>
      </c>
      <c r="G15" s="24" t="s">
        <v>175</v>
      </c>
      <c r="H15" s="19"/>
    </row>
    <row r="16" spans="1:8" x14ac:dyDescent="0.25">
      <c r="A16" s="20">
        <v>3</v>
      </c>
      <c r="B16" s="19" t="s">
        <v>176</v>
      </c>
      <c r="C16" s="19" t="s">
        <v>177</v>
      </c>
      <c r="D16" s="25" t="s">
        <v>66</v>
      </c>
      <c r="E16" s="20" t="s">
        <v>48</v>
      </c>
      <c r="F16" s="26" t="s">
        <v>5</v>
      </c>
      <c r="G16" s="24"/>
      <c r="H16" s="19"/>
    </row>
    <row r="17" spans="1:8" x14ac:dyDescent="0.25">
      <c r="A17" s="20">
        <v>3</v>
      </c>
      <c r="B17" s="19" t="s">
        <v>178</v>
      </c>
      <c r="C17" s="19" t="s">
        <v>154</v>
      </c>
      <c r="D17" s="21" t="s">
        <v>151</v>
      </c>
      <c r="E17" s="22" t="s">
        <v>151</v>
      </c>
      <c r="F17" s="23" t="s">
        <v>18</v>
      </c>
      <c r="G17" s="24"/>
      <c r="H17" s="19"/>
    </row>
    <row r="18" spans="1:8" x14ac:dyDescent="0.25">
      <c r="A18" s="20">
        <v>3</v>
      </c>
      <c r="B18" s="19" t="s">
        <v>179</v>
      </c>
      <c r="C18" s="19" t="s">
        <v>180</v>
      </c>
      <c r="D18" s="21" t="s">
        <v>151</v>
      </c>
      <c r="E18" s="22" t="s">
        <v>151</v>
      </c>
      <c r="F18" s="23" t="s">
        <v>18</v>
      </c>
      <c r="G18" s="24"/>
      <c r="H18" s="19"/>
    </row>
    <row r="19" spans="1:8" ht="25.5" x14ac:dyDescent="0.25">
      <c r="A19" s="20">
        <v>3</v>
      </c>
      <c r="B19" s="19" t="s">
        <v>181</v>
      </c>
      <c r="C19" s="19" t="s">
        <v>182</v>
      </c>
      <c r="D19" s="21" t="s">
        <v>151</v>
      </c>
      <c r="E19" s="22" t="s">
        <v>151</v>
      </c>
      <c r="F19" s="23" t="s">
        <v>18</v>
      </c>
      <c r="G19" s="24" t="s">
        <v>183</v>
      </c>
      <c r="H19" s="19"/>
    </row>
    <row r="20" spans="1:8" x14ac:dyDescent="0.25">
      <c r="A20" s="20">
        <v>3</v>
      </c>
      <c r="B20" s="19" t="s">
        <v>184</v>
      </c>
      <c r="C20" s="19" t="s">
        <v>161</v>
      </c>
      <c r="D20" s="21" t="s">
        <v>151</v>
      </c>
      <c r="E20" s="22" t="s">
        <v>151</v>
      </c>
      <c r="F20" s="23" t="s">
        <v>18</v>
      </c>
      <c r="G20" s="24"/>
      <c r="H20" s="19"/>
    </row>
    <row r="21" spans="1:8" x14ac:dyDescent="0.25">
      <c r="A21" s="20">
        <v>3</v>
      </c>
      <c r="B21" s="19" t="s">
        <v>185</v>
      </c>
      <c r="C21" s="19" t="s">
        <v>163</v>
      </c>
      <c r="D21" s="21" t="s">
        <v>151</v>
      </c>
      <c r="E21" s="22" t="s">
        <v>151</v>
      </c>
      <c r="F21" s="23" t="s">
        <v>18</v>
      </c>
      <c r="G21" s="24"/>
      <c r="H21" s="19"/>
    </row>
    <row r="22" spans="1:8" x14ac:dyDescent="0.25">
      <c r="A22" s="20">
        <v>4</v>
      </c>
      <c r="B22" s="19" t="s">
        <v>186</v>
      </c>
      <c r="C22" s="19" t="s">
        <v>187</v>
      </c>
      <c r="D22" s="25" t="s">
        <v>74</v>
      </c>
      <c r="E22" s="20" t="s">
        <v>58</v>
      </c>
      <c r="F22" s="26" t="s">
        <v>5</v>
      </c>
      <c r="G22" s="24"/>
      <c r="H22" s="19"/>
    </row>
    <row r="23" spans="1:8" x14ac:dyDescent="0.25">
      <c r="A23" s="20">
        <v>4</v>
      </c>
      <c r="B23" s="19" t="s">
        <v>188</v>
      </c>
      <c r="C23" s="19" t="s">
        <v>189</v>
      </c>
      <c r="D23" s="21" t="s">
        <v>151</v>
      </c>
      <c r="E23" s="22" t="s">
        <v>151</v>
      </c>
      <c r="F23" s="23" t="s">
        <v>18</v>
      </c>
      <c r="G23" s="24"/>
      <c r="H23" s="19"/>
    </row>
    <row r="24" spans="1:8" ht="25.5" x14ac:dyDescent="0.25">
      <c r="A24" s="20">
        <v>4</v>
      </c>
      <c r="B24" s="19" t="s">
        <v>190</v>
      </c>
      <c r="C24" s="19" t="s">
        <v>137</v>
      </c>
      <c r="D24" s="21" t="s">
        <v>151</v>
      </c>
      <c r="E24" s="22" t="s">
        <v>151</v>
      </c>
      <c r="F24" s="23" t="s">
        <v>18</v>
      </c>
      <c r="G24" s="24" t="s">
        <v>191</v>
      </c>
      <c r="H24" s="19"/>
    </row>
    <row r="25" spans="1:8" x14ac:dyDescent="0.25">
      <c r="A25" s="20">
        <v>4</v>
      </c>
      <c r="B25" s="19" t="s">
        <v>192</v>
      </c>
      <c r="C25" s="19" t="s">
        <v>174</v>
      </c>
      <c r="D25" s="25" t="s">
        <v>84</v>
      </c>
      <c r="E25" s="20" t="s">
        <v>55</v>
      </c>
      <c r="F25" s="26" t="s">
        <v>5</v>
      </c>
      <c r="G25" s="24"/>
      <c r="H25" s="19"/>
    </row>
    <row r="26" spans="1:8" x14ac:dyDescent="0.25">
      <c r="A26" s="20">
        <v>4</v>
      </c>
      <c r="B26" s="19" t="s">
        <v>193</v>
      </c>
      <c r="C26" s="19" t="s">
        <v>150</v>
      </c>
      <c r="D26" s="21" t="s">
        <v>151</v>
      </c>
      <c r="E26" s="22" t="s">
        <v>151</v>
      </c>
      <c r="F26" s="23" t="s">
        <v>18</v>
      </c>
      <c r="G26" s="24"/>
      <c r="H26" s="19"/>
    </row>
    <row r="27" spans="1:8" x14ac:dyDescent="0.25">
      <c r="A27" s="20">
        <v>4</v>
      </c>
      <c r="B27" s="19" t="s">
        <v>194</v>
      </c>
      <c r="C27" s="19" t="s">
        <v>154</v>
      </c>
      <c r="D27" s="25" t="s">
        <v>54</v>
      </c>
      <c r="E27" s="20" t="s">
        <v>55</v>
      </c>
      <c r="F27" s="26" t="s">
        <v>5</v>
      </c>
      <c r="G27" s="24"/>
      <c r="H27" s="19"/>
    </row>
    <row r="28" spans="1:8" x14ac:dyDescent="0.25">
      <c r="A28" s="20">
        <v>4</v>
      </c>
      <c r="B28" s="19" t="s">
        <v>195</v>
      </c>
      <c r="C28" s="19" t="s">
        <v>163</v>
      </c>
      <c r="D28" s="21" t="s">
        <v>151</v>
      </c>
      <c r="E28" s="22" t="s">
        <v>151</v>
      </c>
      <c r="F28" s="23" t="s">
        <v>18</v>
      </c>
      <c r="G28" s="24"/>
      <c r="H28" s="19"/>
    </row>
    <row r="29" spans="1:8" x14ac:dyDescent="0.25">
      <c r="A29" s="20">
        <v>5</v>
      </c>
      <c r="B29" s="19" t="s">
        <v>196</v>
      </c>
      <c r="C29" s="19" t="s">
        <v>180</v>
      </c>
      <c r="D29" s="21" t="s">
        <v>151</v>
      </c>
      <c r="E29" s="22" t="s">
        <v>151</v>
      </c>
      <c r="F29" s="23" t="s">
        <v>18</v>
      </c>
      <c r="G29" s="24"/>
      <c r="H29" s="19"/>
    </row>
    <row r="30" spans="1:8" x14ac:dyDescent="0.25">
      <c r="A30" s="20">
        <v>5</v>
      </c>
      <c r="B30" s="19" t="s">
        <v>197</v>
      </c>
      <c r="C30" s="19" t="s">
        <v>182</v>
      </c>
      <c r="D30" s="21" t="s">
        <v>151</v>
      </c>
      <c r="E30" s="22" t="s">
        <v>151</v>
      </c>
      <c r="F30" s="23" t="s">
        <v>18</v>
      </c>
      <c r="G30" s="24" t="s">
        <v>198</v>
      </c>
      <c r="H30" s="19"/>
    </row>
    <row r="31" spans="1:8" x14ac:dyDescent="0.25">
      <c r="A31" s="20">
        <v>5</v>
      </c>
      <c r="B31" s="19" t="s">
        <v>199</v>
      </c>
      <c r="C31" s="19" t="s">
        <v>177</v>
      </c>
      <c r="D31" s="21" t="s">
        <v>151</v>
      </c>
      <c r="E31" s="22" t="s">
        <v>151</v>
      </c>
      <c r="F31" s="23" t="s">
        <v>18</v>
      </c>
      <c r="G31" s="24"/>
      <c r="H31" s="19"/>
    </row>
    <row r="32" spans="1:8" x14ac:dyDescent="0.25">
      <c r="A32" s="20">
        <v>5</v>
      </c>
      <c r="B32" s="19" t="s">
        <v>200</v>
      </c>
      <c r="C32" s="19" t="s">
        <v>92</v>
      </c>
      <c r="D32" s="21" t="s">
        <v>151</v>
      </c>
      <c r="E32" s="22" t="s">
        <v>151</v>
      </c>
      <c r="F32" s="23" t="s">
        <v>18</v>
      </c>
      <c r="G32" s="24"/>
      <c r="H32" s="19"/>
    </row>
    <row r="33" spans="1:8" ht="25.5" customHeight="1" x14ac:dyDescent="0.25">
      <c r="A33" s="20">
        <v>5</v>
      </c>
      <c r="B33" s="19" t="s">
        <v>201</v>
      </c>
      <c r="C33" s="19" t="s">
        <v>202</v>
      </c>
      <c r="D33" s="21" t="s">
        <v>151</v>
      </c>
      <c r="E33" s="22" t="s">
        <v>151</v>
      </c>
      <c r="F33" s="23" t="s">
        <v>18</v>
      </c>
      <c r="G33" s="24" t="s">
        <v>203</v>
      </c>
      <c r="H33" s="19"/>
    </row>
    <row r="34" spans="1:8" x14ac:dyDescent="0.25">
      <c r="A34" s="20">
        <v>5</v>
      </c>
      <c r="B34" s="19" t="s">
        <v>204</v>
      </c>
      <c r="C34" s="19" t="s">
        <v>205</v>
      </c>
      <c r="D34" s="21" t="s">
        <v>151</v>
      </c>
      <c r="E34" s="22" t="s">
        <v>151</v>
      </c>
      <c r="F34" s="23" t="s">
        <v>18</v>
      </c>
      <c r="G34" s="24"/>
      <c r="H34" s="19"/>
    </row>
    <row r="35" spans="1:8" ht="25.5" x14ac:dyDescent="0.25">
      <c r="A35" s="20">
        <v>6</v>
      </c>
      <c r="B35" s="19" t="s">
        <v>206</v>
      </c>
      <c r="C35" s="19" t="s">
        <v>182</v>
      </c>
      <c r="D35" s="21" t="s">
        <v>151</v>
      </c>
      <c r="E35" s="22" t="s">
        <v>151</v>
      </c>
      <c r="F35" s="23" t="s">
        <v>18</v>
      </c>
      <c r="G35" s="24" t="s">
        <v>207</v>
      </c>
      <c r="H35" s="19"/>
    </row>
    <row r="36" spans="1:8" x14ac:dyDescent="0.25">
      <c r="A36" s="20">
        <v>6</v>
      </c>
      <c r="B36" s="19" t="s">
        <v>208</v>
      </c>
      <c r="C36" s="19" t="s">
        <v>209</v>
      </c>
      <c r="D36" s="21" t="s">
        <v>151</v>
      </c>
      <c r="E36" s="22" t="s">
        <v>151</v>
      </c>
      <c r="F36" s="23" t="s">
        <v>18</v>
      </c>
      <c r="G36" s="24"/>
      <c r="H36" s="19"/>
    </row>
    <row r="37" spans="1:8" x14ac:dyDescent="0.25">
      <c r="A37" s="20">
        <v>6</v>
      </c>
      <c r="B37" s="19" t="s">
        <v>210</v>
      </c>
      <c r="C37" s="19" t="s">
        <v>137</v>
      </c>
      <c r="D37" s="21" t="s">
        <v>151</v>
      </c>
      <c r="E37" s="22" t="s">
        <v>151</v>
      </c>
      <c r="F37" s="23" t="s">
        <v>18</v>
      </c>
      <c r="G37" s="24"/>
      <c r="H37" s="19"/>
    </row>
    <row r="38" spans="1:8" ht="25.5" customHeight="1" x14ac:dyDescent="0.25">
      <c r="A38" s="20">
        <v>6</v>
      </c>
      <c r="B38" s="19" t="s">
        <v>211</v>
      </c>
      <c r="C38" s="19" t="s">
        <v>212</v>
      </c>
      <c r="D38" s="25" t="s">
        <v>93</v>
      </c>
      <c r="E38" s="20" t="s">
        <v>55</v>
      </c>
      <c r="F38" s="27" t="s">
        <v>6</v>
      </c>
      <c r="G38" s="24" t="s">
        <v>213</v>
      </c>
      <c r="H38" s="19"/>
    </row>
    <row r="39" spans="1:8" ht="25.5" customHeight="1" x14ac:dyDescent="0.25">
      <c r="A39" s="20">
        <v>6</v>
      </c>
      <c r="B39" s="19" t="s">
        <v>214</v>
      </c>
      <c r="C39" s="19" t="s">
        <v>202</v>
      </c>
      <c r="D39" s="21" t="s">
        <v>151</v>
      </c>
      <c r="E39" s="22" t="s">
        <v>151</v>
      </c>
      <c r="F39" s="23" t="s">
        <v>18</v>
      </c>
      <c r="G39" s="24" t="s">
        <v>203</v>
      </c>
      <c r="H39" s="19"/>
    </row>
    <row r="40" spans="1:8" x14ac:dyDescent="0.25">
      <c r="A40" s="20">
        <v>6</v>
      </c>
      <c r="B40" s="19" t="s">
        <v>215</v>
      </c>
      <c r="C40" s="19" t="s">
        <v>205</v>
      </c>
      <c r="D40" s="21" t="s">
        <v>151</v>
      </c>
      <c r="E40" s="22" t="s">
        <v>151</v>
      </c>
      <c r="F40" s="23" t="s">
        <v>18</v>
      </c>
      <c r="G40" s="24"/>
      <c r="H40" s="19"/>
    </row>
    <row r="41" spans="1:8" ht="25.5" customHeight="1" x14ac:dyDescent="0.25">
      <c r="A41" s="20">
        <v>7</v>
      </c>
      <c r="B41" s="19" t="s">
        <v>216</v>
      </c>
      <c r="C41" s="19" t="s">
        <v>202</v>
      </c>
      <c r="D41" s="21" t="s">
        <v>151</v>
      </c>
      <c r="E41" s="22" t="s">
        <v>151</v>
      </c>
      <c r="F41" s="23" t="s">
        <v>18</v>
      </c>
      <c r="G41" s="24" t="s">
        <v>203</v>
      </c>
      <c r="H41" s="19"/>
    </row>
    <row r="42" spans="1:8" x14ac:dyDescent="0.25">
      <c r="A42" s="20">
        <v>7</v>
      </c>
      <c r="B42" s="19" t="s">
        <v>217</v>
      </c>
      <c r="C42" s="19" t="s">
        <v>205</v>
      </c>
      <c r="D42" s="21" t="s">
        <v>151</v>
      </c>
      <c r="E42" s="22" t="s">
        <v>151</v>
      </c>
      <c r="F42" s="23" t="s">
        <v>18</v>
      </c>
      <c r="G42" s="24"/>
      <c r="H42" s="19"/>
    </row>
    <row r="43" spans="1:8" ht="25.5" customHeight="1" x14ac:dyDescent="0.25">
      <c r="A43" s="20">
        <v>7</v>
      </c>
      <c r="B43" s="19" t="s">
        <v>218</v>
      </c>
      <c r="C43" s="19" t="s">
        <v>202</v>
      </c>
      <c r="D43" s="21" t="s">
        <v>151</v>
      </c>
      <c r="E43" s="22" t="s">
        <v>151</v>
      </c>
      <c r="F43" s="23" t="s">
        <v>18</v>
      </c>
      <c r="G43" s="24" t="s">
        <v>219</v>
      </c>
      <c r="H43" s="19"/>
    </row>
    <row r="44" spans="1:8" ht="25.5" customHeight="1" x14ac:dyDescent="0.25">
      <c r="A44" s="20">
        <v>7</v>
      </c>
      <c r="B44" s="19" t="s">
        <v>220</v>
      </c>
      <c r="C44" s="19" t="s">
        <v>202</v>
      </c>
      <c r="D44" s="21" t="s">
        <v>151</v>
      </c>
      <c r="E44" s="22" t="s">
        <v>151</v>
      </c>
      <c r="F44" s="23" t="s">
        <v>18</v>
      </c>
      <c r="G44" s="24" t="s">
        <v>219</v>
      </c>
      <c r="H44" s="19"/>
    </row>
    <row r="45" spans="1:8" ht="25.5" customHeight="1" x14ac:dyDescent="0.25">
      <c r="A45" s="20">
        <v>7</v>
      </c>
      <c r="B45" s="19" t="s">
        <v>221</v>
      </c>
      <c r="C45" s="19" t="s">
        <v>202</v>
      </c>
      <c r="D45" s="21" t="s">
        <v>151</v>
      </c>
      <c r="E45" s="22" t="s">
        <v>151</v>
      </c>
      <c r="F45" s="23" t="s">
        <v>18</v>
      </c>
      <c r="G45" s="24" t="s">
        <v>219</v>
      </c>
      <c r="H45" s="19"/>
    </row>
    <row r="46" spans="1:8" x14ac:dyDescent="0.25">
      <c r="A46" s="20">
        <v>7</v>
      </c>
      <c r="B46" s="19" t="s">
        <v>222</v>
      </c>
      <c r="C46" s="19" t="s">
        <v>212</v>
      </c>
      <c r="D46" s="21" t="s">
        <v>151</v>
      </c>
      <c r="E46" s="22" t="s">
        <v>151</v>
      </c>
      <c r="F46" s="23" t="s">
        <v>18</v>
      </c>
      <c r="G46" s="24"/>
      <c r="H46" s="19"/>
    </row>
    <row r="47" spans="1:8" x14ac:dyDescent="0.25">
      <c r="A47" s="20">
        <v>8</v>
      </c>
      <c r="B47" s="19" t="s">
        <v>223</v>
      </c>
      <c r="C47" s="19" t="s">
        <v>212</v>
      </c>
      <c r="D47" s="25" t="s">
        <v>57</v>
      </c>
      <c r="E47" s="20" t="s">
        <v>55</v>
      </c>
      <c r="F47" s="27" t="s">
        <v>6</v>
      </c>
      <c r="G47" s="24"/>
      <c r="H47" s="19"/>
    </row>
    <row r="48" spans="1:8" x14ac:dyDescent="0.25">
      <c r="A48" s="20">
        <v>8</v>
      </c>
      <c r="B48" s="19" t="s">
        <v>224</v>
      </c>
      <c r="C48" s="19" t="s">
        <v>212</v>
      </c>
      <c r="D48" s="21" t="s">
        <v>151</v>
      </c>
      <c r="E48" s="22" t="s">
        <v>151</v>
      </c>
      <c r="F48" s="23" t="s">
        <v>18</v>
      </c>
      <c r="G48" s="24"/>
      <c r="H48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8"/>
  <sheetViews>
    <sheetView showGridLines="0" tabSelected="1" zoomScaleNormal="100" workbookViewId="0">
      <pane ySplit="2" topLeftCell="A3" activePane="bottomLeft" state="frozen"/>
      <selection pane="bottomLeft" activeCell="D13" sqref="D13"/>
    </sheetView>
  </sheetViews>
  <sheetFormatPr baseColWidth="10" defaultColWidth="8.710937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customHeight="1" x14ac:dyDescent="0.25">
      <c r="A1" s="17" t="s">
        <v>225</v>
      </c>
    </row>
    <row r="2" spans="1:8" ht="30" customHeight="1" x14ac:dyDescent="0.2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</row>
    <row r="3" spans="1:8" x14ac:dyDescent="0.25">
      <c r="A3" s="20">
        <v>1</v>
      </c>
      <c r="B3" s="19" t="s">
        <v>226</v>
      </c>
      <c r="C3" s="19" t="s">
        <v>177</v>
      </c>
      <c r="D3" s="25" t="s">
        <v>66</v>
      </c>
      <c r="E3" s="20" t="s">
        <v>48</v>
      </c>
      <c r="F3" s="26" t="s">
        <v>5</v>
      </c>
      <c r="G3" s="24"/>
      <c r="H3" s="19"/>
    </row>
    <row r="4" spans="1:8" x14ac:dyDescent="0.25">
      <c r="A4" s="20">
        <v>1</v>
      </c>
      <c r="B4" s="19" t="s">
        <v>227</v>
      </c>
      <c r="C4" s="19" t="s">
        <v>150</v>
      </c>
      <c r="D4" s="21" t="s">
        <v>151</v>
      </c>
      <c r="E4" s="22" t="s">
        <v>151</v>
      </c>
      <c r="F4" s="23" t="s">
        <v>18</v>
      </c>
      <c r="G4" s="24"/>
      <c r="H4" s="19"/>
    </row>
    <row r="5" spans="1:8" x14ac:dyDescent="0.25">
      <c r="A5" s="20">
        <v>1</v>
      </c>
      <c r="B5" s="19" t="s">
        <v>228</v>
      </c>
      <c r="C5" s="19" t="s">
        <v>154</v>
      </c>
      <c r="D5" s="25" t="s">
        <v>47</v>
      </c>
      <c r="E5" s="20" t="s">
        <v>48</v>
      </c>
      <c r="F5" s="26" t="s">
        <v>5</v>
      </c>
      <c r="G5" s="24"/>
      <c r="H5" s="19"/>
    </row>
    <row r="6" spans="1:8" x14ac:dyDescent="0.25">
      <c r="A6" s="20">
        <v>1</v>
      </c>
      <c r="B6" s="19" t="s">
        <v>229</v>
      </c>
      <c r="C6" s="19" t="s">
        <v>230</v>
      </c>
      <c r="D6" s="21" t="s">
        <v>151</v>
      </c>
      <c r="E6" s="22" t="s">
        <v>151</v>
      </c>
      <c r="F6" s="23" t="s">
        <v>18</v>
      </c>
      <c r="G6" s="24" t="s">
        <v>231</v>
      </c>
      <c r="H6" s="19"/>
    </row>
    <row r="7" spans="1:8" x14ac:dyDescent="0.25">
      <c r="A7" s="20">
        <v>1</v>
      </c>
      <c r="B7" s="19" t="s">
        <v>160</v>
      </c>
      <c r="C7" s="19" t="s">
        <v>161</v>
      </c>
      <c r="D7" s="21" t="s">
        <v>151</v>
      </c>
      <c r="E7" s="22" t="s">
        <v>151</v>
      </c>
      <c r="F7" s="23" t="s">
        <v>18</v>
      </c>
      <c r="G7" s="24"/>
      <c r="H7" s="19"/>
    </row>
    <row r="8" spans="1:8" x14ac:dyDescent="0.25">
      <c r="A8" s="20">
        <v>1</v>
      </c>
      <c r="B8" s="19" t="s">
        <v>232</v>
      </c>
      <c r="C8" s="19" t="s">
        <v>163</v>
      </c>
      <c r="D8" s="21" t="s">
        <v>151</v>
      </c>
      <c r="E8" s="22" t="s">
        <v>151</v>
      </c>
      <c r="F8" s="23" t="s">
        <v>18</v>
      </c>
      <c r="G8" s="24"/>
      <c r="H8" s="19"/>
    </row>
    <row r="9" spans="1:8" x14ac:dyDescent="0.25">
      <c r="A9" s="20">
        <v>2</v>
      </c>
      <c r="B9" s="19" t="s">
        <v>233</v>
      </c>
      <c r="C9" s="19" t="s">
        <v>230</v>
      </c>
      <c r="D9" s="21" t="s">
        <v>151</v>
      </c>
      <c r="E9" s="22" t="s">
        <v>151</v>
      </c>
      <c r="F9" s="23" t="s">
        <v>18</v>
      </c>
      <c r="G9" s="24"/>
      <c r="H9" s="19"/>
    </row>
    <row r="10" spans="1:8" x14ac:dyDescent="0.25">
      <c r="A10" s="20">
        <v>2</v>
      </c>
      <c r="B10" s="19" t="s">
        <v>171</v>
      </c>
      <c r="C10" s="19" t="s">
        <v>161</v>
      </c>
      <c r="D10" s="21" t="s">
        <v>151</v>
      </c>
      <c r="E10" s="22" t="s">
        <v>151</v>
      </c>
      <c r="F10" s="23" t="s">
        <v>18</v>
      </c>
      <c r="G10" s="24"/>
      <c r="H10" s="19"/>
    </row>
    <row r="11" spans="1:8" x14ac:dyDescent="0.25">
      <c r="A11" s="20">
        <v>2</v>
      </c>
      <c r="B11" s="19" t="s">
        <v>234</v>
      </c>
      <c r="C11" s="19" t="s">
        <v>180</v>
      </c>
      <c r="D11" s="21" t="s">
        <v>151</v>
      </c>
      <c r="E11" s="22" t="s">
        <v>151</v>
      </c>
      <c r="F11" s="23" t="s">
        <v>18</v>
      </c>
      <c r="G11" s="24"/>
      <c r="H11" s="19"/>
    </row>
    <row r="12" spans="1:8" x14ac:dyDescent="0.25">
      <c r="A12" s="20">
        <v>2</v>
      </c>
      <c r="B12" s="19" t="s">
        <v>235</v>
      </c>
      <c r="C12" s="19" t="s">
        <v>167</v>
      </c>
      <c r="D12" s="21" t="s">
        <v>151</v>
      </c>
      <c r="E12" s="22" t="s">
        <v>151</v>
      </c>
      <c r="F12" s="23" t="s">
        <v>18</v>
      </c>
      <c r="G12" s="24"/>
      <c r="H12" s="19"/>
    </row>
    <row r="13" spans="1:8" x14ac:dyDescent="0.25">
      <c r="A13" s="20">
        <v>2</v>
      </c>
      <c r="B13" s="19" t="s">
        <v>236</v>
      </c>
      <c r="C13" s="19" t="s">
        <v>230</v>
      </c>
      <c r="D13" s="21" t="s">
        <v>151</v>
      </c>
      <c r="E13" s="22" t="s">
        <v>151</v>
      </c>
      <c r="F13" s="23" t="s">
        <v>18</v>
      </c>
      <c r="G13" s="24"/>
      <c r="H13" s="19"/>
    </row>
    <row r="14" spans="1:8" x14ac:dyDescent="0.25">
      <c r="A14" s="20">
        <v>2</v>
      </c>
      <c r="B14" s="19" t="s">
        <v>237</v>
      </c>
      <c r="C14" s="19" t="s">
        <v>163</v>
      </c>
      <c r="D14" s="21" t="s">
        <v>151</v>
      </c>
      <c r="E14" s="22" t="s">
        <v>151</v>
      </c>
      <c r="F14" s="23" t="s">
        <v>18</v>
      </c>
      <c r="G14" s="24"/>
      <c r="H14" s="19"/>
    </row>
    <row r="15" spans="1:8" ht="25.5" customHeight="1" x14ac:dyDescent="0.25">
      <c r="A15" s="20">
        <v>3</v>
      </c>
      <c r="B15" s="19" t="s">
        <v>238</v>
      </c>
      <c r="C15" s="19" t="s">
        <v>150</v>
      </c>
      <c r="D15" s="21" t="s">
        <v>151</v>
      </c>
      <c r="E15" s="22" t="s">
        <v>151</v>
      </c>
      <c r="F15" s="23" t="s">
        <v>18</v>
      </c>
      <c r="G15" s="24"/>
      <c r="H15" s="19"/>
    </row>
    <row r="16" spans="1:8" x14ac:dyDescent="0.25">
      <c r="A16" s="20">
        <v>3</v>
      </c>
      <c r="B16" s="19" t="s">
        <v>184</v>
      </c>
      <c r="C16" s="19" t="s">
        <v>161</v>
      </c>
      <c r="D16" s="21" t="s">
        <v>151</v>
      </c>
      <c r="E16" s="22" t="s">
        <v>151</v>
      </c>
      <c r="F16" s="23" t="s">
        <v>18</v>
      </c>
      <c r="G16" s="24"/>
      <c r="H16" s="19"/>
    </row>
    <row r="17" spans="1:8" x14ac:dyDescent="0.25">
      <c r="A17" s="20">
        <v>3</v>
      </c>
      <c r="B17" s="19" t="s">
        <v>239</v>
      </c>
      <c r="C17" s="19" t="s">
        <v>230</v>
      </c>
      <c r="D17" s="21" t="s">
        <v>151</v>
      </c>
      <c r="E17" s="22" t="s">
        <v>151</v>
      </c>
      <c r="F17" s="23" t="s">
        <v>18</v>
      </c>
      <c r="G17" s="24"/>
      <c r="H17" s="19"/>
    </row>
    <row r="18" spans="1:8" x14ac:dyDescent="0.25">
      <c r="A18" s="20">
        <v>3</v>
      </c>
      <c r="B18" s="19" t="s">
        <v>240</v>
      </c>
      <c r="C18" s="19" t="s">
        <v>154</v>
      </c>
      <c r="D18" s="25" t="s">
        <v>54</v>
      </c>
      <c r="E18" s="20" t="s">
        <v>55</v>
      </c>
      <c r="F18" s="26" t="s">
        <v>5</v>
      </c>
      <c r="G18" s="24"/>
      <c r="H18" s="19"/>
    </row>
    <row r="19" spans="1:8" x14ac:dyDescent="0.25">
      <c r="A19" s="20">
        <v>3</v>
      </c>
      <c r="B19" s="19" t="s">
        <v>241</v>
      </c>
      <c r="C19" s="19" t="s">
        <v>230</v>
      </c>
      <c r="D19" s="21" t="s">
        <v>151</v>
      </c>
      <c r="E19" s="22" t="s">
        <v>151</v>
      </c>
      <c r="F19" s="23" t="s">
        <v>18</v>
      </c>
      <c r="G19" s="24"/>
      <c r="H19" s="19"/>
    </row>
    <row r="20" spans="1:8" x14ac:dyDescent="0.25">
      <c r="A20" s="20">
        <v>3</v>
      </c>
      <c r="B20" s="19" t="s">
        <v>242</v>
      </c>
      <c r="C20" s="19" t="s">
        <v>163</v>
      </c>
      <c r="D20" s="21" t="s">
        <v>151</v>
      </c>
      <c r="E20" s="22" t="s">
        <v>151</v>
      </c>
      <c r="F20" s="23" t="s">
        <v>18</v>
      </c>
      <c r="G20" s="24"/>
      <c r="H20" s="19"/>
    </row>
    <row r="21" spans="1:8" x14ac:dyDescent="0.25">
      <c r="A21" s="20">
        <v>4</v>
      </c>
      <c r="B21" s="19" t="s">
        <v>243</v>
      </c>
      <c r="C21" s="19" t="s">
        <v>154</v>
      </c>
      <c r="D21" s="21" t="s">
        <v>151</v>
      </c>
      <c r="E21" s="22" t="s">
        <v>151</v>
      </c>
      <c r="F21" s="23" t="s">
        <v>18</v>
      </c>
      <c r="G21" s="24"/>
      <c r="H21" s="19"/>
    </row>
    <row r="22" spans="1:8" ht="25.5" customHeight="1" x14ac:dyDescent="0.25">
      <c r="A22" s="20">
        <v>4</v>
      </c>
      <c r="B22" s="19" t="s">
        <v>244</v>
      </c>
      <c r="C22" s="19" t="s">
        <v>150</v>
      </c>
      <c r="D22" s="25" t="s">
        <v>81</v>
      </c>
      <c r="E22" s="20" t="s">
        <v>48</v>
      </c>
      <c r="F22" s="27" t="s">
        <v>6</v>
      </c>
      <c r="G22" s="24" t="s">
        <v>165</v>
      </c>
      <c r="H22" s="19"/>
    </row>
    <row r="23" spans="1:8" x14ac:dyDescent="0.25">
      <c r="A23" s="20">
        <v>4</v>
      </c>
      <c r="B23" s="19" t="s">
        <v>245</v>
      </c>
      <c r="C23" s="19" t="s">
        <v>230</v>
      </c>
      <c r="D23" s="21" t="s">
        <v>151</v>
      </c>
      <c r="E23" s="22" t="s">
        <v>151</v>
      </c>
      <c r="F23" s="23" t="s">
        <v>18</v>
      </c>
      <c r="G23" s="24" t="s">
        <v>246</v>
      </c>
      <c r="H23" s="19"/>
    </row>
    <row r="24" spans="1:8" x14ac:dyDescent="0.25">
      <c r="A24" s="20">
        <v>4</v>
      </c>
      <c r="B24" s="19" t="s">
        <v>247</v>
      </c>
      <c r="C24" s="19" t="s">
        <v>137</v>
      </c>
      <c r="D24" s="21" t="s">
        <v>151</v>
      </c>
      <c r="E24" s="22" t="s">
        <v>151</v>
      </c>
      <c r="F24" s="23" t="s">
        <v>18</v>
      </c>
      <c r="G24" s="24"/>
      <c r="H24" s="19"/>
    </row>
    <row r="25" spans="1:8" x14ac:dyDescent="0.25">
      <c r="A25" s="20">
        <v>4</v>
      </c>
      <c r="B25" s="19" t="s">
        <v>248</v>
      </c>
      <c r="C25" s="19" t="s">
        <v>156</v>
      </c>
      <c r="D25" s="21" t="s">
        <v>151</v>
      </c>
      <c r="E25" s="22" t="s">
        <v>151</v>
      </c>
      <c r="F25" s="23" t="s">
        <v>18</v>
      </c>
      <c r="G25" s="24"/>
      <c r="H25" s="19"/>
    </row>
    <row r="26" spans="1:8" x14ac:dyDescent="0.25">
      <c r="A26" s="20">
        <v>4</v>
      </c>
      <c r="B26" s="19" t="s">
        <v>249</v>
      </c>
      <c r="C26" s="19" t="s">
        <v>163</v>
      </c>
      <c r="D26" s="21" t="s">
        <v>151</v>
      </c>
      <c r="E26" s="22" t="s">
        <v>151</v>
      </c>
      <c r="F26" s="23" t="s">
        <v>18</v>
      </c>
      <c r="G26" s="24"/>
      <c r="H26" s="19"/>
    </row>
    <row r="27" spans="1:8" ht="25.5" x14ac:dyDescent="0.25">
      <c r="A27" s="20">
        <v>5</v>
      </c>
      <c r="B27" s="19" t="s">
        <v>250</v>
      </c>
      <c r="C27" s="19" t="s">
        <v>230</v>
      </c>
      <c r="D27" s="21" t="s">
        <v>151</v>
      </c>
      <c r="E27" s="22" t="s">
        <v>151</v>
      </c>
      <c r="F27" s="23" t="s">
        <v>18</v>
      </c>
      <c r="G27" s="24" t="s">
        <v>251</v>
      </c>
      <c r="H27" s="19"/>
    </row>
    <row r="28" spans="1:8" x14ac:dyDescent="0.25">
      <c r="A28" s="20">
        <v>5</v>
      </c>
      <c r="B28" s="19" t="s">
        <v>252</v>
      </c>
      <c r="C28" s="19" t="s">
        <v>180</v>
      </c>
      <c r="D28" s="21" t="s">
        <v>151</v>
      </c>
      <c r="E28" s="22" t="s">
        <v>151</v>
      </c>
      <c r="F28" s="23" t="s">
        <v>18</v>
      </c>
      <c r="G28" s="24"/>
      <c r="H28" s="19"/>
    </row>
    <row r="29" spans="1:8" x14ac:dyDescent="0.25">
      <c r="A29" s="20">
        <v>5</v>
      </c>
      <c r="B29" s="19" t="s">
        <v>253</v>
      </c>
      <c r="C29" s="19" t="s">
        <v>174</v>
      </c>
      <c r="D29" s="25" t="s">
        <v>84</v>
      </c>
      <c r="E29" s="20" t="s">
        <v>55</v>
      </c>
      <c r="F29" s="27" t="s">
        <v>6</v>
      </c>
      <c r="G29" s="24"/>
      <c r="H29" s="19"/>
    </row>
    <row r="30" spans="1:8" x14ac:dyDescent="0.25">
      <c r="A30" s="20">
        <v>5</v>
      </c>
      <c r="B30" s="19" t="s">
        <v>254</v>
      </c>
      <c r="C30" s="19" t="s">
        <v>205</v>
      </c>
      <c r="D30" s="21" t="s">
        <v>151</v>
      </c>
      <c r="E30" s="22" t="s">
        <v>151</v>
      </c>
      <c r="F30" s="23" t="s">
        <v>18</v>
      </c>
      <c r="G30" s="24"/>
      <c r="H30" s="19"/>
    </row>
    <row r="31" spans="1:8" x14ac:dyDescent="0.25">
      <c r="A31" s="20">
        <v>5</v>
      </c>
      <c r="B31" s="19" t="s">
        <v>255</v>
      </c>
      <c r="C31" s="19" t="s">
        <v>182</v>
      </c>
      <c r="D31" s="21" t="s">
        <v>151</v>
      </c>
      <c r="E31" s="22" t="s">
        <v>151</v>
      </c>
      <c r="F31" s="23" t="s">
        <v>18</v>
      </c>
      <c r="G31" s="24"/>
      <c r="H31" s="19"/>
    </row>
    <row r="32" spans="1:8" ht="25.5" customHeight="1" x14ac:dyDescent="0.25">
      <c r="A32" s="20">
        <v>5</v>
      </c>
      <c r="B32" s="19" t="s">
        <v>201</v>
      </c>
      <c r="C32" s="19" t="s">
        <v>202</v>
      </c>
      <c r="D32" s="21" t="s">
        <v>151</v>
      </c>
      <c r="E32" s="22" t="s">
        <v>151</v>
      </c>
      <c r="F32" s="23" t="s">
        <v>18</v>
      </c>
      <c r="G32" s="24" t="s">
        <v>203</v>
      </c>
      <c r="H32" s="19"/>
    </row>
    <row r="33" spans="1:8" x14ac:dyDescent="0.25">
      <c r="A33" s="20">
        <v>6</v>
      </c>
      <c r="B33" s="19" t="s">
        <v>256</v>
      </c>
      <c r="C33" s="19" t="s">
        <v>230</v>
      </c>
      <c r="D33" s="21" t="s">
        <v>151</v>
      </c>
      <c r="E33" s="22" t="s">
        <v>151</v>
      </c>
      <c r="F33" s="23" t="s">
        <v>18</v>
      </c>
      <c r="G33" s="24"/>
      <c r="H33" s="19"/>
    </row>
    <row r="34" spans="1:8" x14ac:dyDescent="0.25">
      <c r="A34" s="20">
        <v>6</v>
      </c>
      <c r="B34" s="19" t="s">
        <v>257</v>
      </c>
      <c r="C34" s="19" t="s">
        <v>230</v>
      </c>
      <c r="D34" s="21" t="s">
        <v>151</v>
      </c>
      <c r="E34" s="22" t="s">
        <v>151</v>
      </c>
      <c r="F34" s="23" t="s">
        <v>18</v>
      </c>
      <c r="G34" s="24"/>
      <c r="H34" s="19"/>
    </row>
    <row r="35" spans="1:8" x14ac:dyDescent="0.25">
      <c r="A35" s="20">
        <v>6</v>
      </c>
      <c r="B35" s="19" t="s">
        <v>258</v>
      </c>
      <c r="C35" s="19" t="s">
        <v>205</v>
      </c>
      <c r="D35" s="21" t="s">
        <v>151</v>
      </c>
      <c r="E35" s="22" t="s">
        <v>151</v>
      </c>
      <c r="F35" s="23" t="s">
        <v>18</v>
      </c>
      <c r="G35" s="24"/>
      <c r="H35" s="19"/>
    </row>
    <row r="36" spans="1:8" ht="25.5" customHeight="1" x14ac:dyDescent="0.25">
      <c r="A36" s="20">
        <v>6</v>
      </c>
      <c r="B36" s="19" t="s">
        <v>259</v>
      </c>
      <c r="C36" s="19" t="s">
        <v>202</v>
      </c>
      <c r="D36" s="21" t="s">
        <v>151</v>
      </c>
      <c r="E36" s="22" t="s">
        <v>151</v>
      </c>
      <c r="F36" s="23" t="s">
        <v>18</v>
      </c>
      <c r="G36" s="24" t="s">
        <v>219</v>
      </c>
      <c r="H36" s="19"/>
    </row>
    <row r="37" spans="1:8" ht="25.5" customHeight="1" x14ac:dyDescent="0.25">
      <c r="A37" s="20">
        <v>6</v>
      </c>
      <c r="B37" s="19" t="s">
        <v>260</v>
      </c>
      <c r="C37" s="19" t="s">
        <v>230</v>
      </c>
      <c r="D37" s="21" t="s">
        <v>151</v>
      </c>
      <c r="E37" s="22" t="s">
        <v>151</v>
      </c>
      <c r="F37" s="23" t="s">
        <v>18</v>
      </c>
      <c r="G37" s="24" t="s">
        <v>261</v>
      </c>
      <c r="H37" s="19"/>
    </row>
    <row r="38" spans="1:8" ht="25.5" customHeight="1" x14ac:dyDescent="0.25">
      <c r="A38" s="20">
        <v>6</v>
      </c>
      <c r="B38" s="19" t="s">
        <v>214</v>
      </c>
      <c r="C38" s="19" t="s">
        <v>202</v>
      </c>
      <c r="D38" s="21" t="s">
        <v>151</v>
      </c>
      <c r="E38" s="22" t="s">
        <v>151</v>
      </c>
      <c r="F38" s="23" t="s">
        <v>18</v>
      </c>
      <c r="G38" s="24" t="s">
        <v>203</v>
      </c>
      <c r="H38" s="19"/>
    </row>
    <row r="39" spans="1:8" x14ac:dyDescent="0.25">
      <c r="A39" s="20">
        <v>7</v>
      </c>
      <c r="B39" s="19" t="s">
        <v>217</v>
      </c>
      <c r="C39" s="19" t="s">
        <v>205</v>
      </c>
      <c r="D39" s="21" t="s">
        <v>151</v>
      </c>
      <c r="E39" s="22" t="s">
        <v>151</v>
      </c>
      <c r="F39" s="23" t="s">
        <v>18</v>
      </c>
      <c r="G39" s="24"/>
      <c r="H39" s="19"/>
    </row>
    <row r="40" spans="1:8" ht="25.5" customHeight="1" x14ac:dyDescent="0.25">
      <c r="A40" s="20">
        <v>7</v>
      </c>
      <c r="B40" s="19" t="s">
        <v>262</v>
      </c>
      <c r="C40" s="19" t="s">
        <v>202</v>
      </c>
      <c r="D40" s="21" t="s">
        <v>151</v>
      </c>
      <c r="E40" s="22" t="s">
        <v>151</v>
      </c>
      <c r="F40" s="23" t="s">
        <v>18</v>
      </c>
      <c r="G40" s="24" t="s">
        <v>219</v>
      </c>
      <c r="H40" s="19"/>
    </row>
    <row r="41" spans="1:8" ht="25.5" customHeight="1" x14ac:dyDescent="0.25">
      <c r="A41" s="20">
        <v>7</v>
      </c>
      <c r="B41" s="19" t="s">
        <v>263</v>
      </c>
      <c r="C41" s="19" t="s">
        <v>202</v>
      </c>
      <c r="D41" s="21" t="s">
        <v>151</v>
      </c>
      <c r="E41" s="22" t="s">
        <v>151</v>
      </c>
      <c r="F41" s="23" t="s">
        <v>18</v>
      </c>
      <c r="G41" s="24" t="s">
        <v>219</v>
      </c>
      <c r="H41" s="19"/>
    </row>
    <row r="42" spans="1:8" x14ac:dyDescent="0.25">
      <c r="A42" s="20">
        <v>7</v>
      </c>
      <c r="B42" s="19" t="s">
        <v>264</v>
      </c>
      <c r="C42" s="19" t="s">
        <v>230</v>
      </c>
      <c r="D42" s="21" t="s">
        <v>151</v>
      </c>
      <c r="E42" s="22" t="s">
        <v>151</v>
      </c>
      <c r="F42" s="23" t="s">
        <v>18</v>
      </c>
      <c r="G42" s="24"/>
      <c r="H42" s="19"/>
    </row>
    <row r="43" spans="1:8" x14ac:dyDescent="0.25">
      <c r="A43" s="20">
        <v>7</v>
      </c>
      <c r="B43" s="19" t="s">
        <v>265</v>
      </c>
      <c r="C43" s="19" t="s">
        <v>180</v>
      </c>
      <c r="D43" s="21" t="s">
        <v>151</v>
      </c>
      <c r="E43" s="22" t="s">
        <v>151</v>
      </c>
      <c r="F43" s="23" t="s">
        <v>18</v>
      </c>
      <c r="G43" s="24"/>
      <c r="H43" s="19"/>
    </row>
    <row r="44" spans="1:8" ht="25.5" customHeight="1" x14ac:dyDescent="0.25">
      <c r="A44" s="20">
        <v>7</v>
      </c>
      <c r="B44" s="19" t="s">
        <v>216</v>
      </c>
      <c r="C44" s="19" t="s">
        <v>202</v>
      </c>
      <c r="D44" s="21" t="s">
        <v>151</v>
      </c>
      <c r="E44" s="22" t="s">
        <v>151</v>
      </c>
      <c r="F44" s="23" t="s">
        <v>18</v>
      </c>
      <c r="G44" s="24" t="s">
        <v>203</v>
      </c>
      <c r="H44" s="19"/>
    </row>
    <row r="45" spans="1:8" x14ac:dyDescent="0.25">
      <c r="A45" s="20">
        <v>8</v>
      </c>
      <c r="B45" s="19" t="s">
        <v>222</v>
      </c>
      <c r="C45" s="19" t="s">
        <v>212</v>
      </c>
      <c r="D45" s="21" t="s">
        <v>151</v>
      </c>
      <c r="E45" s="22" t="s">
        <v>151</v>
      </c>
      <c r="F45" s="23" t="s">
        <v>18</v>
      </c>
      <c r="G45" s="24"/>
      <c r="H45" s="19"/>
    </row>
    <row r="46" spans="1:8" x14ac:dyDescent="0.25">
      <c r="A46" s="20">
        <v>8</v>
      </c>
      <c r="B46" s="19" t="s">
        <v>266</v>
      </c>
      <c r="C46" s="19" t="s">
        <v>212</v>
      </c>
      <c r="D46" s="21" t="s">
        <v>151</v>
      </c>
      <c r="E46" s="22" t="s">
        <v>151</v>
      </c>
      <c r="F46" s="23" t="s">
        <v>18</v>
      </c>
      <c r="G46" s="24"/>
      <c r="H46" s="19"/>
    </row>
    <row r="47" spans="1:8" x14ac:dyDescent="0.25">
      <c r="A47" s="20">
        <v>9</v>
      </c>
      <c r="B47" s="19" t="s">
        <v>224</v>
      </c>
      <c r="C47" s="19" t="s">
        <v>212</v>
      </c>
      <c r="D47" s="21" t="s">
        <v>151</v>
      </c>
      <c r="E47" s="22" t="s">
        <v>151</v>
      </c>
      <c r="F47" s="23" t="s">
        <v>18</v>
      </c>
      <c r="G47" s="24"/>
      <c r="H47" s="19"/>
    </row>
    <row r="48" spans="1:8" x14ac:dyDescent="0.25">
      <c r="A48" s="20">
        <v>9</v>
      </c>
      <c r="B48" s="19" t="s">
        <v>267</v>
      </c>
      <c r="C48" s="19" t="s">
        <v>268</v>
      </c>
      <c r="D48" s="21" t="s">
        <v>151</v>
      </c>
      <c r="E48" s="22" t="s">
        <v>151</v>
      </c>
      <c r="F48" s="23" t="s">
        <v>18</v>
      </c>
      <c r="G48" s="24"/>
      <c r="H48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0"/>
  <sheetViews>
    <sheetView showGridLines="0" zoomScaleNormal="100" workbookViewId="0">
      <pane ySplit="2" topLeftCell="A17" activePane="bottomLeft" state="frozen"/>
      <selection pane="bottomLeft" activeCell="D13" sqref="D13:F13"/>
    </sheetView>
  </sheetViews>
  <sheetFormatPr baseColWidth="10" defaultColWidth="8.710937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customHeight="1" x14ac:dyDescent="0.25">
      <c r="A1" s="17" t="s">
        <v>269</v>
      </c>
    </row>
    <row r="2" spans="1:8" ht="30" customHeight="1" x14ac:dyDescent="0.2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</row>
    <row r="3" spans="1:8" x14ac:dyDescent="0.25">
      <c r="A3" s="20">
        <v>1</v>
      </c>
      <c r="B3" s="19" t="s">
        <v>232</v>
      </c>
      <c r="C3" s="19" t="s">
        <v>163</v>
      </c>
      <c r="D3" s="21" t="s">
        <v>151</v>
      </c>
      <c r="E3" s="22" t="s">
        <v>151</v>
      </c>
      <c r="F3" s="23" t="s">
        <v>18</v>
      </c>
      <c r="G3" s="24"/>
      <c r="H3" s="19"/>
    </row>
    <row r="4" spans="1:8" x14ac:dyDescent="0.25">
      <c r="A4" s="20">
        <v>1</v>
      </c>
      <c r="B4" s="19" t="s">
        <v>270</v>
      </c>
      <c r="C4" s="19" t="s">
        <v>159</v>
      </c>
      <c r="D4" s="21" t="s">
        <v>151</v>
      </c>
      <c r="E4" s="22" t="s">
        <v>151</v>
      </c>
      <c r="F4" s="23" t="s">
        <v>18</v>
      </c>
      <c r="G4" s="24"/>
      <c r="H4" s="19"/>
    </row>
    <row r="5" spans="1:8" x14ac:dyDescent="0.25">
      <c r="A5" s="20">
        <v>1</v>
      </c>
      <c r="B5" s="19" t="s">
        <v>271</v>
      </c>
      <c r="C5" s="19" t="s">
        <v>159</v>
      </c>
      <c r="D5" s="21" t="s">
        <v>151</v>
      </c>
      <c r="E5" s="22" t="s">
        <v>151</v>
      </c>
      <c r="F5" s="23" t="s">
        <v>18</v>
      </c>
      <c r="G5" s="24"/>
      <c r="H5" s="19"/>
    </row>
    <row r="6" spans="1:8" x14ac:dyDescent="0.25">
      <c r="A6" s="20">
        <v>1</v>
      </c>
      <c r="B6" s="19" t="s">
        <v>272</v>
      </c>
      <c r="C6" s="19" t="s">
        <v>161</v>
      </c>
      <c r="D6" s="21" t="s">
        <v>151</v>
      </c>
      <c r="E6" s="22" t="s">
        <v>151</v>
      </c>
      <c r="F6" s="23" t="s">
        <v>18</v>
      </c>
      <c r="G6" s="24"/>
      <c r="H6" s="19"/>
    </row>
    <row r="7" spans="1:8" x14ac:dyDescent="0.25">
      <c r="A7" s="20">
        <v>1</v>
      </c>
      <c r="B7" s="19" t="s">
        <v>273</v>
      </c>
      <c r="C7" s="19" t="s">
        <v>167</v>
      </c>
      <c r="D7" s="21" t="s">
        <v>151</v>
      </c>
      <c r="E7" s="22" t="s">
        <v>151</v>
      </c>
      <c r="F7" s="23" t="s">
        <v>18</v>
      </c>
      <c r="G7" s="24"/>
      <c r="H7" s="19"/>
    </row>
    <row r="8" spans="1:8" x14ac:dyDescent="0.25">
      <c r="A8" s="20">
        <v>1</v>
      </c>
      <c r="B8" s="19" t="s">
        <v>274</v>
      </c>
      <c r="C8" s="19" t="s">
        <v>150</v>
      </c>
      <c r="D8" s="21" t="s">
        <v>151</v>
      </c>
      <c r="E8" s="22" t="s">
        <v>151</v>
      </c>
      <c r="F8" s="23" t="s">
        <v>18</v>
      </c>
      <c r="G8" s="24"/>
      <c r="H8" s="19"/>
    </row>
    <row r="9" spans="1:8" x14ac:dyDescent="0.25">
      <c r="A9" s="20">
        <v>2</v>
      </c>
      <c r="B9" s="19" t="s">
        <v>237</v>
      </c>
      <c r="C9" s="19" t="s">
        <v>163</v>
      </c>
      <c r="D9" s="21" t="s">
        <v>151</v>
      </c>
      <c r="E9" s="22" t="s">
        <v>151</v>
      </c>
      <c r="F9" s="23" t="s">
        <v>18</v>
      </c>
      <c r="G9" s="24"/>
      <c r="H9" s="19"/>
    </row>
    <row r="10" spans="1:8" x14ac:dyDescent="0.25">
      <c r="A10" s="20">
        <v>2</v>
      </c>
      <c r="B10" s="19" t="s">
        <v>275</v>
      </c>
      <c r="C10" s="19" t="s">
        <v>159</v>
      </c>
      <c r="D10" s="25" t="s">
        <v>79</v>
      </c>
      <c r="E10" s="20" t="s">
        <v>48</v>
      </c>
      <c r="F10" s="26" t="s">
        <v>5</v>
      </c>
      <c r="G10" s="24"/>
      <c r="H10" s="19"/>
    </row>
    <row r="11" spans="1:8" x14ac:dyDescent="0.25">
      <c r="A11" s="20">
        <v>2</v>
      </c>
      <c r="B11" s="19" t="s">
        <v>276</v>
      </c>
      <c r="C11" s="19" t="s">
        <v>161</v>
      </c>
      <c r="D11" s="21" t="s">
        <v>151</v>
      </c>
      <c r="E11" s="22" t="s">
        <v>151</v>
      </c>
      <c r="F11" s="23" t="s">
        <v>18</v>
      </c>
      <c r="G11" s="24"/>
      <c r="H11" s="19"/>
    </row>
    <row r="12" spans="1:8" x14ac:dyDescent="0.25">
      <c r="A12" s="20">
        <v>2</v>
      </c>
      <c r="B12" s="19" t="s">
        <v>277</v>
      </c>
      <c r="C12" s="19" t="s">
        <v>167</v>
      </c>
      <c r="D12" s="21" t="s">
        <v>151</v>
      </c>
      <c r="E12" s="22" t="s">
        <v>151</v>
      </c>
      <c r="F12" s="23" t="s">
        <v>18</v>
      </c>
      <c r="G12" s="24"/>
      <c r="H12" s="19"/>
    </row>
    <row r="13" spans="1:8" ht="25.5" customHeight="1" x14ac:dyDescent="0.25">
      <c r="A13" s="20">
        <v>2</v>
      </c>
      <c r="B13" s="19" t="s">
        <v>164</v>
      </c>
      <c r="C13" s="19" t="s">
        <v>150</v>
      </c>
      <c r="D13" s="25" t="s">
        <v>81</v>
      </c>
      <c r="E13" s="20" t="s">
        <v>48</v>
      </c>
      <c r="F13" s="27" t="s">
        <v>6</v>
      </c>
      <c r="G13" s="24" t="s">
        <v>165</v>
      </c>
      <c r="H13" s="19"/>
    </row>
    <row r="14" spans="1:8" x14ac:dyDescent="0.25">
      <c r="A14" s="20">
        <v>2</v>
      </c>
      <c r="B14" s="19" t="s">
        <v>278</v>
      </c>
      <c r="C14" s="19" t="s">
        <v>156</v>
      </c>
      <c r="D14" s="21" t="s">
        <v>151</v>
      </c>
      <c r="E14" s="22" t="s">
        <v>151</v>
      </c>
      <c r="F14" s="23" t="s">
        <v>18</v>
      </c>
      <c r="G14" s="24"/>
      <c r="H14" s="19"/>
    </row>
    <row r="15" spans="1:8" x14ac:dyDescent="0.25">
      <c r="A15" s="20">
        <v>3</v>
      </c>
      <c r="B15" s="19" t="s">
        <v>242</v>
      </c>
      <c r="C15" s="19" t="s">
        <v>163</v>
      </c>
      <c r="D15" s="21" t="s">
        <v>151</v>
      </c>
      <c r="E15" s="22" t="s">
        <v>151</v>
      </c>
      <c r="F15" s="23" t="s">
        <v>18</v>
      </c>
      <c r="G15" s="24"/>
      <c r="H15" s="19"/>
    </row>
    <row r="16" spans="1:8" x14ac:dyDescent="0.25">
      <c r="A16" s="20">
        <v>3</v>
      </c>
      <c r="B16" s="19" t="s">
        <v>279</v>
      </c>
      <c r="C16" s="19" t="s">
        <v>268</v>
      </c>
      <c r="D16" s="21" t="s">
        <v>151</v>
      </c>
      <c r="E16" s="22" t="s">
        <v>151</v>
      </c>
      <c r="F16" s="23" t="s">
        <v>18</v>
      </c>
      <c r="G16" s="24"/>
      <c r="H16" s="19"/>
    </row>
    <row r="17" spans="1:8" x14ac:dyDescent="0.25">
      <c r="A17" s="20">
        <v>3</v>
      </c>
      <c r="B17" s="19" t="s">
        <v>280</v>
      </c>
      <c r="C17" s="19" t="s">
        <v>159</v>
      </c>
      <c r="D17" s="21" t="s">
        <v>151</v>
      </c>
      <c r="E17" s="22" t="s">
        <v>151</v>
      </c>
      <c r="F17" s="23" t="s">
        <v>18</v>
      </c>
      <c r="G17" s="24"/>
      <c r="H17" s="19"/>
    </row>
    <row r="18" spans="1:8" x14ac:dyDescent="0.25">
      <c r="A18" s="20">
        <v>3</v>
      </c>
      <c r="B18" s="19" t="s">
        <v>188</v>
      </c>
      <c r="C18" s="19" t="s">
        <v>189</v>
      </c>
      <c r="D18" s="21" t="s">
        <v>151</v>
      </c>
      <c r="E18" s="22" t="s">
        <v>151</v>
      </c>
      <c r="F18" s="23" t="s">
        <v>18</v>
      </c>
      <c r="G18" s="24"/>
      <c r="H18" s="19"/>
    </row>
    <row r="19" spans="1:8" x14ac:dyDescent="0.25">
      <c r="A19" s="20">
        <v>3</v>
      </c>
      <c r="B19" s="19" t="s">
        <v>281</v>
      </c>
      <c r="C19" s="19" t="s">
        <v>161</v>
      </c>
      <c r="D19" s="21" t="s">
        <v>151</v>
      </c>
      <c r="E19" s="22" t="s">
        <v>151</v>
      </c>
      <c r="F19" s="23" t="s">
        <v>18</v>
      </c>
      <c r="G19" s="24"/>
      <c r="H19" s="19"/>
    </row>
    <row r="20" spans="1:8" x14ac:dyDescent="0.25">
      <c r="A20" s="20">
        <v>3</v>
      </c>
      <c r="B20" s="19" t="s">
        <v>282</v>
      </c>
      <c r="C20" s="19" t="s">
        <v>150</v>
      </c>
      <c r="D20" s="21" t="s">
        <v>151</v>
      </c>
      <c r="E20" s="22" t="s">
        <v>151</v>
      </c>
      <c r="F20" s="23" t="s">
        <v>18</v>
      </c>
      <c r="G20" s="24"/>
      <c r="H20" s="19"/>
    </row>
    <row r="21" spans="1:8" x14ac:dyDescent="0.25">
      <c r="A21" s="20">
        <v>3</v>
      </c>
      <c r="B21" s="19" t="s">
        <v>283</v>
      </c>
      <c r="C21" s="19" t="s">
        <v>167</v>
      </c>
      <c r="D21" s="21" t="s">
        <v>151</v>
      </c>
      <c r="E21" s="22" t="s">
        <v>151</v>
      </c>
      <c r="F21" s="23" t="s">
        <v>18</v>
      </c>
      <c r="G21" s="24" t="s">
        <v>284</v>
      </c>
      <c r="H21" s="19"/>
    </row>
    <row r="22" spans="1:8" x14ac:dyDescent="0.25">
      <c r="A22" s="20">
        <v>3</v>
      </c>
      <c r="B22" s="19" t="s">
        <v>285</v>
      </c>
      <c r="C22" s="19" t="s">
        <v>180</v>
      </c>
      <c r="D22" s="21" t="s">
        <v>151</v>
      </c>
      <c r="E22" s="22" t="s">
        <v>151</v>
      </c>
      <c r="F22" s="23" t="s">
        <v>18</v>
      </c>
      <c r="G22" s="24"/>
      <c r="H22" s="19"/>
    </row>
    <row r="23" spans="1:8" x14ac:dyDescent="0.25">
      <c r="A23" s="20">
        <v>4</v>
      </c>
      <c r="B23" s="19" t="s">
        <v>249</v>
      </c>
      <c r="C23" s="19" t="s">
        <v>163</v>
      </c>
      <c r="D23" s="21" t="s">
        <v>151</v>
      </c>
      <c r="E23" s="22" t="s">
        <v>151</v>
      </c>
      <c r="F23" s="23" t="s">
        <v>18</v>
      </c>
      <c r="G23" s="24"/>
      <c r="H23" s="19"/>
    </row>
    <row r="24" spans="1:8" x14ac:dyDescent="0.25">
      <c r="A24" s="20">
        <v>4</v>
      </c>
      <c r="B24" s="19" t="s">
        <v>286</v>
      </c>
      <c r="C24" s="19" t="s">
        <v>159</v>
      </c>
      <c r="D24" s="21" t="s">
        <v>151</v>
      </c>
      <c r="E24" s="22" t="s">
        <v>151</v>
      </c>
      <c r="F24" s="23" t="s">
        <v>18</v>
      </c>
      <c r="G24" s="24"/>
      <c r="H24" s="19"/>
    </row>
    <row r="25" spans="1:8" x14ac:dyDescent="0.25">
      <c r="A25" s="20">
        <v>4</v>
      </c>
      <c r="B25" s="19" t="s">
        <v>287</v>
      </c>
      <c r="C25" s="19" t="s">
        <v>209</v>
      </c>
      <c r="D25" s="25" t="s">
        <v>132</v>
      </c>
      <c r="E25" s="20" t="s">
        <v>55</v>
      </c>
      <c r="F25" s="27" t="s">
        <v>6</v>
      </c>
      <c r="G25" s="24"/>
      <c r="H25" s="19"/>
    </row>
    <row r="26" spans="1:8" x14ac:dyDescent="0.25">
      <c r="A26" s="20">
        <v>4</v>
      </c>
      <c r="B26" s="19" t="s">
        <v>192</v>
      </c>
      <c r="C26" s="19" t="s">
        <v>174</v>
      </c>
      <c r="D26" s="21" t="s">
        <v>151</v>
      </c>
      <c r="E26" s="22" t="s">
        <v>151</v>
      </c>
      <c r="F26" s="23" t="s">
        <v>18</v>
      </c>
      <c r="G26" s="24"/>
      <c r="H26" s="19"/>
    </row>
    <row r="27" spans="1:8" x14ac:dyDescent="0.25">
      <c r="A27" s="20">
        <v>4</v>
      </c>
      <c r="B27" s="19" t="s">
        <v>288</v>
      </c>
      <c r="C27" s="19" t="s">
        <v>167</v>
      </c>
      <c r="D27" s="21" t="s">
        <v>151</v>
      </c>
      <c r="E27" s="22" t="s">
        <v>151</v>
      </c>
      <c r="F27" s="23" t="s">
        <v>18</v>
      </c>
      <c r="G27" s="24"/>
      <c r="H27" s="19"/>
    </row>
    <row r="28" spans="1:8" x14ac:dyDescent="0.25">
      <c r="A28" s="20">
        <v>4</v>
      </c>
      <c r="B28" s="19" t="s">
        <v>289</v>
      </c>
      <c r="C28" s="19" t="s">
        <v>187</v>
      </c>
      <c r="D28" s="21" t="s">
        <v>151</v>
      </c>
      <c r="E28" s="22" t="s">
        <v>151</v>
      </c>
      <c r="F28" s="23" t="s">
        <v>18</v>
      </c>
      <c r="G28" s="24"/>
      <c r="H28" s="19"/>
    </row>
    <row r="29" spans="1:8" x14ac:dyDescent="0.25">
      <c r="A29" s="20">
        <v>4</v>
      </c>
      <c r="B29" s="19" t="s">
        <v>290</v>
      </c>
      <c r="C29" s="19" t="s">
        <v>174</v>
      </c>
      <c r="D29" s="21" t="s">
        <v>151</v>
      </c>
      <c r="E29" s="22" t="s">
        <v>151</v>
      </c>
      <c r="F29" s="23" t="s">
        <v>18</v>
      </c>
      <c r="G29" s="24" t="s">
        <v>291</v>
      </c>
      <c r="H29" s="19"/>
    </row>
    <row r="30" spans="1:8" ht="25.5" customHeight="1" x14ac:dyDescent="0.25">
      <c r="A30" s="20">
        <v>5</v>
      </c>
      <c r="B30" s="19" t="s">
        <v>292</v>
      </c>
      <c r="C30" s="19" t="s">
        <v>174</v>
      </c>
      <c r="D30" s="21" t="s">
        <v>151</v>
      </c>
      <c r="E30" s="22" t="s">
        <v>151</v>
      </c>
      <c r="F30" s="23" t="s">
        <v>18</v>
      </c>
      <c r="G30" s="24" t="s">
        <v>293</v>
      </c>
      <c r="H30" s="19"/>
    </row>
    <row r="31" spans="1:8" x14ac:dyDescent="0.25">
      <c r="A31" s="20">
        <v>5</v>
      </c>
      <c r="B31" s="19" t="s">
        <v>294</v>
      </c>
      <c r="C31" s="19" t="s">
        <v>159</v>
      </c>
      <c r="D31" s="21" t="s">
        <v>151</v>
      </c>
      <c r="E31" s="22" t="s">
        <v>151</v>
      </c>
      <c r="F31" s="23" t="s">
        <v>18</v>
      </c>
      <c r="G31" s="24"/>
      <c r="H31" s="19"/>
    </row>
    <row r="32" spans="1:8" x14ac:dyDescent="0.25">
      <c r="A32" s="20">
        <v>5</v>
      </c>
      <c r="B32" s="19" t="s">
        <v>295</v>
      </c>
      <c r="C32" s="19" t="s">
        <v>174</v>
      </c>
      <c r="D32" s="25" t="s">
        <v>84</v>
      </c>
      <c r="E32" s="20" t="s">
        <v>55</v>
      </c>
      <c r="F32" s="26" t="s">
        <v>5</v>
      </c>
      <c r="G32" s="24"/>
      <c r="H32" s="19"/>
    </row>
    <row r="33" spans="1:8" ht="25.5" customHeight="1" x14ac:dyDescent="0.25">
      <c r="A33" s="20">
        <v>5</v>
      </c>
      <c r="B33" s="19" t="s">
        <v>201</v>
      </c>
      <c r="C33" s="19" t="s">
        <v>202</v>
      </c>
      <c r="D33" s="21" t="s">
        <v>151</v>
      </c>
      <c r="E33" s="22" t="s">
        <v>151</v>
      </c>
      <c r="F33" s="23" t="s">
        <v>18</v>
      </c>
      <c r="G33" s="24" t="s">
        <v>203</v>
      </c>
      <c r="H33" s="19"/>
    </row>
    <row r="34" spans="1:8" x14ac:dyDescent="0.25">
      <c r="A34" s="20">
        <v>5</v>
      </c>
      <c r="B34" s="19" t="s">
        <v>296</v>
      </c>
      <c r="C34" s="19" t="s">
        <v>167</v>
      </c>
      <c r="D34" s="21" t="s">
        <v>151</v>
      </c>
      <c r="E34" s="22" t="s">
        <v>151</v>
      </c>
      <c r="F34" s="23" t="s">
        <v>18</v>
      </c>
      <c r="G34" s="24"/>
      <c r="H34" s="19"/>
    </row>
    <row r="35" spans="1:8" x14ac:dyDescent="0.25">
      <c r="A35" s="20">
        <v>5</v>
      </c>
      <c r="B35" s="19" t="s">
        <v>297</v>
      </c>
      <c r="C35" s="19" t="s">
        <v>180</v>
      </c>
      <c r="D35" s="21" t="s">
        <v>151</v>
      </c>
      <c r="E35" s="22" t="s">
        <v>151</v>
      </c>
      <c r="F35" s="23" t="s">
        <v>18</v>
      </c>
      <c r="G35" s="24"/>
      <c r="H35" s="19"/>
    </row>
    <row r="36" spans="1:8" x14ac:dyDescent="0.25">
      <c r="A36" s="20">
        <v>5</v>
      </c>
      <c r="B36" s="19" t="s">
        <v>298</v>
      </c>
      <c r="C36" s="19" t="s">
        <v>205</v>
      </c>
      <c r="D36" s="21" t="s">
        <v>151</v>
      </c>
      <c r="E36" s="22" t="s">
        <v>151</v>
      </c>
      <c r="F36" s="23" t="s">
        <v>18</v>
      </c>
      <c r="G36" s="24"/>
      <c r="H36" s="19"/>
    </row>
    <row r="37" spans="1:8" x14ac:dyDescent="0.25">
      <c r="A37" s="20">
        <v>6</v>
      </c>
      <c r="B37" s="19" t="s">
        <v>299</v>
      </c>
      <c r="C37" s="19" t="s">
        <v>174</v>
      </c>
      <c r="D37" s="21" t="s">
        <v>151</v>
      </c>
      <c r="E37" s="22" t="s">
        <v>151</v>
      </c>
      <c r="F37" s="23" t="s">
        <v>18</v>
      </c>
      <c r="G37" s="24"/>
      <c r="H37" s="19"/>
    </row>
    <row r="38" spans="1:8" ht="25.5" customHeight="1" x14ac:dyDescent="0.25">
      <c r="A38" s="20">
        <v>6</v>
      </c>
      <c r="B38" s="19" t="s">
        <v>300</v>
      </c>
      <c r="C38" s="19" t="s">
        <v>202</v>
      </c>
      <c r="D38" s="21" t="s">
        <v>151</v>
      </c>
      <c r="E38" s="22" t="s">
        <v>151</v>
      </c>
      <c r="F38" s="23" t="s">
        <v>18</v>
      </c>
      <c r="G38" s="24" t="s">
        <v>203</v>
      </c>
      <c r="H38" s="19"/>
    </row>
    <row r="39" spans="1:8" x14ac:dyDescent="0.25">
      <c r="A39" s="20">
        <v>6</v>
      </c>
      <c r="B39" s="19" t="s">
        <v>301</v>
      </c>
      <c r="C39" s="19" t="s">
        <v>302</v>
      </c>
      <c r="D39" s="21" t="s">
        <v>151</v>
      </c>
      <c r="E39" s="22" t="s">
        <v>151</v>
      </c>
      <c r="F39" s="23" t="s">
        <v>18</v>
      </c>
      <c r="G39" s="24"/>
      <c r="H39" s="19"/>
    </row>
    <row r="40" spans="1:8" x14ac:dyDescent="0.25">
      <c r="A40" s="20">
        <v>6</v>
      </c>
      <c r="B40" s="19" t="s">
        <v>303</v>
      </c>
      <c r="C40" s="19" t="s">
        <v>174</v>
      </c>
      <c r="D40" s="21" t="s">
        <v>151</v>
      </c>
      <c r="E40" s="22" t="s">
        <v>151</v>
      </c>
      <c r="F40" s="23" t="s">
        <v>18</v>
      </c>
      <c r="G40" s="24"/>
      <c r="H40" s="19"/>
    </row>
    <row r="41" spans="1:8" x14ac:dyDescent="0.25">
      <c r="A41" s="20">
        <v>6</v>
      </c>
      <c r="B41" s="19" t="s">
        <v>222</v>
      </c>
      <c r="C41" s="19" t="s">
        <v>212</v>
      </c>
      <c r="D41" s="21" t="s">
        <v>151</v>
      </c>
      <c r="E41" s="22" t="s">
        <v>151</v>
      </c>
      <c r="F41" s="23" t="s">
        <v>18</v>
      </c>
      <c r="G41" s="24"/>
      <c r="H41" s="19"/>
    </row>
    <row r="42" spans="1:8" x14ac:dyDescent="0.25">
      <c r="A42" s="20">
        <v>6</v>
      </c>
      <c r="B42" s="19" t="s">
        <v>304</v>
      </c>
      <c r="C42" s="19" t="s">
        <v>159</v>
      </c>
      <c r="D42" s="21" t="s">
        <v>151</v>
      </c>
      <c r="E42" s="22" t="s">
        <v>151</v>
      </c>
      <c r="F42" s="23" t="s">
        <v>18</v>
      </c>
      <c r="G42" s="24"/>
      <c r="H42" s="19"/>
    </row>
    <row r="43" spans="1:8" x14ac:dyDescent="0.25">
      <c r="A43" s="20">
        <v>6</v>
      </c>
      <c r="B43" s="19" t="s">
        <v>305</v>
      </c>
      <c r="C43" s="19" t="s">
        <v>205</v>
      </c>
      <c r="D43" s="21" t="s">
        <v>151</v>
      </c>
      <c r="E43" s="22" t="s">
        <v>151</v>
      </c>
      <c r="F43" s="23" t="s">
        <v>18</v>
      </c>
      <c r="G43" s="24"/>
      <c r="H43" s="19"/>
    </row>
    <row r="44" spans="1:8" ht="25.5" customHeight="1" x14ac:dyDescent="0.25">
      <c r="A44" s="20">
        <v>7</v>
      </c>
      <c r="B44" s="19" t="s">
        <v>306</v>
      </c>
      <c r="C44" s="19" t="s">
        <v>202</v>
      </c>
      <c r="D44" s="21" t="s">
        <v>151</v>
      </c>
      <c r="E44" s="22" t="s">
        <v>151</v>
      </c>
      <c r="F44" s="23" t="s">
        <v>18</v>
      </c>
      <c r="G44" s="24" t="s">
        <v>203</v>
      </c>
      <c r="H44" s="19"/>
    </row>
    <row r="45" spans="1:8" ht="25.5" customHeight="1" x14ac:dyDescent="0.25">
      <c r="A45" s="20">
        <v>7</v>
      </c>
      <c r="B45" s="19" t="s">
        <v>218</v>
      </c>
      <c r="C45" s="19" t="s">
        <v>202</v>
      </c>
      <c r="D45" s="21" t="s">
        <v>151</v>
      </c>
      <c r="E45" s="22" t="s">
        <v>151</v>
      </c>
      <c r="F45" s="23" t="s">
        <v>18</v>
      </c>
      <c r="G45" s="24" t="s">
        <v>219</v>
      </c>
      <c r="H45" s="19"/>
    </row>
    <row r="46" spans="1:8" x14ac:dyDescent="0.25">
      <c r="A46" s="20">
        <v>7</v>
      </c>
      <c r="B46" s="19" t="s">
        <v>307</v>
      </c>
      <c r="C46" s="19" t="s">
        <v>212</v>
      </c>
      <c r="D46" s="21" t="s">
        <v>151</v>
      </c>
      <c r="E46" s="22" t="s">
        <v>151</v>
      </c>
      <c r="F46" s="23" t="s">
        <v>18</v>
      </c>
      <c r="G46" s="24"/>
      <c r="H46" s="19"/>
    </row>
    <row r="47" spans="1:8" x14ac:dyDescent="0.25">
      <c r="A47" s="20">
        <v>7</v>
      </c>
      <c r="B47" s="19" t="s">
        <v>308</v>
      </c>
      <c r="C47" s="19" t="s">
        <v>205</v>
      </c>
      <c r="D47" s="21" t="s">
        <v>151</v>
      </c>
      <c r="E47" s="22" t="s">
        <v>151</v>
      </c>
      <c r="F47" s="23" t="s">
        <v>18</v>
      </c>
      <c r="G47" s="24"/>
      <c r="H47" s="19"/>
    </row>
    <row r="48" spans="1:8" ht="25.5" customHeight="1" x14ac:dyDescent="0.25">
      <c r="A48" s="20">
        <v>8</v>
      </c>
      <c r="B48" s="19" t="s">
        <v>220</v>
      </c>
      <c r="C48" s="19" t="s">
        <v>202</v>
      </c>
      <c r="D48" s="21" t="s">
        <v>151</v>
      </c>
      <c r="E48" s="22" t="s">
        <v>151</v>
      </c>
      <c r="F48" s="23" t="s">
        <v>18</v>
      </c>
      <c r="G48" s="24" t="s">
        <v>219</v>
      </c>
      <c r="H48" s="19"/>
    </row>
    <row r="49" spans="1:8" ht="25.5" customHeight="1" x14ac:dyDescent="0.25">
      <c r="A49" s="20">
        <v>8</v>
      </c>
      <c r="B49" s="19" t="s">
        <v>221</v>
      </c>
      <c r="C49" s="19" t="s">
        <v>202</v>
      </c>
      <c r="D49" s="21" t="s">
        <v>151</v>
      </c>
      <c r="E49" s="22" t="s">
        <v>151</v>
      </c>
      <c r="F49" s="23" t="s">
        <v>18</v>
      </c>
      <c r="G49" s="24" t="s">
        <v>219</v>
      </c>
      <c r="H49" s="19"/>
    </row>
    <row r="50" spans="1:8" x14ac:dyDescent="0.25">
      <c r="A50" s="20">
        <v>8</v>
      </c>
      <c r="B50" s="19" t="s">
        <v>309</v>
      </c>
      <c r="C50" s="19" t="s">
        <v>212</v>
      </c>
      <c r="D50" s="21" t="s">
        <v>151</v>
      </c>
      <c r="E50" s="22" t="s">
        <v>151</v>
      </c>
      <c r="F50" s="23" t="s">
        <v>18</v>
      </c>
      <c r="G50" s="24"/>
      <c r="H50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8"/>
  <sheetViews>
    <sheetView showGridLines="0" zoomScaleNormal="100" workbookViewId="0">
      <pane ySplit="2" topLeftCell="A3" activePane="bottomLeft" state="frozen"/>
      <selection pane="bottomLeft" activeCell="D8" sqref="D8:F9"/>
    </sheetView>
  </sheetViews>
  <sheetFormatPr baseColWidth="10" defaultColWidth="8.710937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customHeight="1" x14ac:dyDescent="0.25">
      <c r="A1" s="17" t="s">
        <v>310</v>
      </c>
    </row>
    <row r="2" spans="1:8" ht="30" customHeight="1" x14ac:dyDescent="0.2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</row>
    <row r="3" spans="1:8" x14ac:dyDescent="0.25">
      <c r="A3" s="20">
        <v>1</v>
      </c>
      <c r="B3" s="19" t="s">
        <v>311</v>
      </c>
      <c r="C3" s="19" t="s">
        <v>177</v>
      </c>
      <c r="D3" s="25" t="s">
        <v>66</v>
      </c>
      <c r="E3" s="20" t="s">
        <v>48</v>
      </c>
      <c r="F3" s="26" t="s">
        <v>5</v>
      </c>
      <c r="G3" s="24"/>
      <c r="H3" s="19"/>
    </row>
    <row r="4" spans="1:8" ht="25.5" customHeight="1" x14ac:dyDescent="0.25">
      <c r="A4" s="20">
        <v>1</v>
      </c>
      <c r="B4" s="19" t="s">
        <v>312</v>
      </c>
      <c r="C4" s="19" t="s">
        <v>313</v>
      </c>
      <c r="D4" s="21" t="s">
        <v>151</v>
      </c>
      <c r="E4" s="22" t="s">
        <v>151</v>
      </c>
      <c r="F4" s="23" t="s">
        <v>18</v>
      </c>
      <c r="G4" s="24" t="s">
        <v>314</v>
      </c>
      <c r="H4" s="19"/>
    </row>
    <row r="5" spans="1:8" x14ac:dyDescent="0.25">
      <c r="A5" s="20">
        <v>1</v>
      </c>
      <c r="B5" s="19" t="s">
        <v>315</v>
      </c>
      <c r="C5" s="19" t="s">
        <v>154</v>
      </c>
      <c r="D5" s="21" t="s">
        <v>151</v>
      </c>
      <c r="E5" s="22" t="s">
        <v>151</v>
      </c>
      <c r="F5" s="23" t="s">
        <v>18</v>
      </c>
      <c r="G5" s="24"/>
      <c r="H5" s="19"/>
    </row>
    <row r="6" spans="1:8" x14ac:dyDescent="0.25">
      <c r="A6" s="20">
        <v>1</v>
      </c>
      <c r="B6" s="19" t="s">
        <v>316</v>
      </c>
      <c r="C6" s="19" t="s">
        <v>150</v>
      </c>
      <c r="D6" s="21" t="s">
        <v>151</v>
      </c>
      <c r="E6" s="22" t="s">
        <v>151</v>
      </c>
      <c r="F6" s="23" t="s">
        <v>18</v>
      </c>
      <c r="G6" s="24"/>
      <c r="H6" s="19"/>
    </row>
    <row r="7" spans="1:8" x14ac:dyDescent="0.25">
      <c r="A7" s="20">
        <v>1</v>
      </c>
      <c r="B7" s="19" t="s">
        <v>272</v>
      </c>
      <c r="C7" s="19" t="s">
        <v>161</v>
      </c>
      <c r="D7" s="21" t="s">
        <v>151</v>
      </c>
      <c r="E7" s="22" t="s">
        <v>151</v>
      </c>
      <c r="F7" s="23" t="s">
        <v>18</v>
      </c>
      <c r="G7" s="24"/>
      <c r="H7" s="19"/>
    </row>
    <row r="8" spans="1:8" x14ac:dyDescent="0.25">
      <c r="A8" s="20">
        <v>1</v>
      </c>
      <c r="B8" s="19" t="s">
        <v>162</v>
      </c>
      <c r="C8" s="19" t="s">
        <v>163</v>
      </c>
      <c r="D8" s="21" t="s">
        <v>151</v>
      </c>
      <c r="E8" s="22" t="s">
        <v>151</v>
      </c>
      <c r="F8" s="23" t="s">
        <v>18</v>
      </c>
      <c r="G8" s="24"/>
      <c r="H8" s="19"/>
    </row>
    <row r="9" spans="1:8" x14ac:dyDescent="0.25">
      <c r="A9" s="20">
        <v>2</v>
      </c>
      <c r="B9" s="19" t="s">
        <v>317</v>
      </c>
      <c r="C9" s="19" t="s">
        <v>177</v>
      </c>
      <c r="D9" s="21" t="s">
        <v>151</v>
      </c>
      <c r="E9" s="22" t="s">
        <v>151</v>
      </c>
      <c r="F9" s="23" t="s">
        <v>18</v>
      </c>
      <c r="G9" s="24"/>
      <c r="H9" s="19"/>
    </row>
    <row r="10" spans="1:8" x14ac:dyDescent="0.25">
      <c r="A10" s="20">
        <v>2</v>
      </c>
      <c r="B10" s="19" t="s">
        <v>158</v>
      </c>
      <c r="C10" s="19" t="s">
        <v>159</v>
      </c>
      <c r="D10" s="25" t="s">
        <v>79</v>
      </c>
      <c r="E10" s="20" t="s">
        <v>48</v>
      </c>
      <c r="F10" s="26" t="s">
        <v>5</v>
      </c>
      <c r="G10" s="24"/>
      <c r="H10" s="19"/>
    </row>
    <row r="11" spans="1:8" x14ac:dyDescent="0.25">
      <c r="A11" s="20">
        <v>2</v>
      </c>
      <c r="B11" s="19" t="s">
        <v>318</v>
      </c>
      <c r="C11" s="19" t="s">
        <v>150</v>
      </c>
      <c r="D11" s="21" t="s">
        <v>151</v>
      </c>
      <c r="E11" s="22" t="s">
        <v>151</v>
      </c>
      <c r="F11" s="23" t="s">
        <v>18</v>
      </c>
      <c r="G11" s="24"/>
      <c r="H11" s="19"/>
    </row>
    <row r="12" spans="1:8" x14ac:dyDescent="0.25">
      <c r="A12" s="20">
        <v>2</v>
      </c>
      <c r="B12" s="19" t="s">
        <v>276</v>
      </c>
      <c r="C12" s="19" t="s">
        <v>161</v>
      </c>
      <c r="D12" s="21" t="s">
        <v>151</v>
      </c>
      <c r="E12" s="22" t="s">
        <v>151</v>
      </c>
      <c r="F12" s="23" t="s">
        <v>18</v>
      </c>
      <c r="G12" s="24"/>
      <c r="H12" s="19"/>
    </row>
    <row r="13" spans="1:8" x14ac:dyDescent="0.25">
      <c r="A13" s="20">
        <v>2</v>
      </c>
      <c r="B13" s="19" t="s">
        <v>319</v>
      </c>
      <c r="C13" s="19" t="s">
        <v>313</v>
      </c>
      <c r="D13" s="21" t="s">
        <v>151</v>
      </c>
      <c r="E13" s="22" t="s">
        <v>151</v>
      </c>
      <c r="F13" s="23" t="s">
        <v>18</v>
      </c>
      <c r="G13" s="24"/>
      <c r="H13" s="19"/>
    </row>
    <row r="14" spans="1:8" x14ac:dyDescent="0.25">
      <c r="A14" s="20">
        <v>2</v>
      </c>
      <c r="B14" s="19" t="s">
        <v>172</v>
      </c>
      <c r="C14" s="19" t="s">
        <v>163</v>
      </c>
      <c r="D14" s="21" t="s">
        <v>151</v>
      </c>
      <c r="E14" s="22" t="s">
        <v>151</v>
      </c>
      <c r="F14" s="23" t="s">
        <v>18</v>
      </c>
      <c r="G14" s="24"/>
      <c r="H14" s="19"/>
    </row>
    <row r="15" spans="1:8" x14ac:dyDescent="0.25">
      <c r="A15" s="20">
        <v>3</v>
      </c>
      <c r="B15" s="19" t="s">
        <v>320</v>
      </c>
      <c r="C15" s="19" t="s">
        <v>177</v>
      </c>
      <c r="D15" s="25" t="s">
        <v>68</v>
      </c>
      <c r="E15" s="20" t="s">
        <v>55</v>
      </c>
      <c r="F15" s="27" t="s">
        <v>6</v>
      </c>
      <c r="G15" s="24"/>
      <c r="H15" s="19"/>
    </row>
    <row r="16" spans="1:8" x14ac:dyDescent="0.25">
      <c r="A16" s="20">
        <v>3</v>
      </c>
      <c r="B16" s="19" t="s">
        <v>321</v>
      </c>
      <c r="C16" s="19" t="s">
        <v>313</v>
      </c>
      <c r="D16" s="21" t="s">
        <v>151</v>
      </c>
      <c r="E16" s="22" t="s">
        <v>151</v>
      </c>
      <c r="F16" s="23" t="s">
        <v>18</v>
      </c>
      <c r="G16" s="24"/>
      <c r="H16" s="19"/>
    </row>
    <row r="17" spans="1:8" x14ac:dyDescent="0.25">
      <c r="A17" s="20">
        <v>3</v>
      </c>
      <c r="B17" s="19" t="s">
        <v>322</v>
      </c>
      <c r="C17" s="19" t="s">
        <v>313</v>
      </c>
      <c r="D17" s="21" t="s">
        <v>151</v>
      </c>
      <c r="E17" s="22" t="s">
        <v>151</v>
      </c>
      <c r="F17" s="23" t="s">
        <v>18</v>
      </c>
      <c r="G17" s="24" t="s">
        <v>323</v>
      </c>
      <c r="H17" s="19"/>
    </row>
    <row r="18" spans="1:8" x14ac:dyDescent="0.25">
      <c r="A18" s="20">
        <v>3</v>
      </c>
      <c r="B18" s="19" t="s">
        <v>324</v>
      </c>
      <c r="C18" s="19" t="s">
        <v>156</v>
      </c>
      <c r="D18" s="21" t="s">
        <v>151</v>
      </c>
      <c r="E18" s="22" t="s">
        <v>151</v>
      </c>
      <c r="F18" s="23" t="s">
        <v>18</v>
      </c>
      <c r="G18" s="24"/>
      <c r="H18" s="19"/>
    </row>
    <row r="19" spans="1:8" x14ac:dyDescent="0.25">
      <c r="A19" s="20">
        <v>3</v>
      </c>
      <c r="B19" s="19" t="s">
        <v>325</v>
      </c>
      <c r="C19" s="19" t="s">
        <v>174</v>
      </c>
      <c r="D19" s="25" t="s">
        <v>84</v>
      </c>
      <c r="E19" s="20" t="s">
        <v>55</v>
      </c>
      <c r="F19" s="27" t="s">
        <v>6</v>
      </c>
      <c r="G19" s="24"/>
      <c r="H19" s="19"/>
    </row>
    <row r="20" spans="1:8" x14ac:dyDescent="0.25">
      <c r="A20" s="20">
        <v>3</v>
      </c>
      <c r="B20" s="19" t="s">
        <v>184</v>
      </c>
      <c r="C20" s="19" t="s">
        <v>161</v>
      </c>
      <c r="D20" s="21" t="s">
        <v>151</v>
      </c>
      <c r="E20" s="22" t="s">
        <v>151</v>
      </c>
      <c r="F20" s="23" t="s">
        <v>18</v>
      </c>
      <c r="G20" s="24"/>
      <c r="H20" s="19"/>
    </row>
    <row r="21" spans="1:8" x14ac:dyDescent="0.25">
      <c r="A21" s="20">
        <v>3</v>
      </c>
      <c r="B21" s="19" t="s">
        <v>185</v>
      </c>
      <c r="C21" s="19" t="s">
        <v>163</v>
      </c>
      <c r="D21" s="21" t="s">
        <v>151</v>
      </c>
      <c r="E21" s="22" t="s">
        <v>151</v>
      </c>
      <c r="F21" s="23" t="s">
        <v>18</v>
      </c>
      <c r="G21" s="24"/>
      <c r="H21" s="19"/>
    </row>
    <row r="22" spans="1:8" x14ac:dyDescent="0.25">
      <c r="A22" s="20">
        <v>4</v>
      </c>
      <c r="B22" s="19" t="s">
        <v>326</v>
      </c>
      <c r="C22" s="19" t="s">
        <v>177</v>
      </c>
      <c r="D22" s="25" t="s">
        <v>70</v>
      </c>
      <c r="E22" s="20" t="s">
        <v>55</v>
      </c>
      <c r="F22" s="27" t="s">
        <v>6</v>
      </c>
      <c r="G22" s="24"/>
      <c r="H22" s="19"/>
    </row>
    <row r="23" spans="1:8" ht="25.5" customHeight="1" x14ac:dyDescent="0.25">
      <c r="A23" s="20">
        <v>4</v>
      </c>
      <c r="B23" s="19" t="s">
        <v>327</v>
      </c>
      <c r="C23" s="19" t="s">
        <v>177</v>
      </c>
      <c r="D23" s="21" t="s">
        <v>151</v>
      </c>
      <c r="E23" s="22" t="s">
        <v>151</v>
      </c>
      <c r="F23" s="23" t="s">
        <v>18</v>
      </c>
      <c r="G23" s="24" t="s">
        <v>328</v>
      </c>
      <c r="H23" s="19"/>
    </row>
    <row r="24" spans="1:8" x14ac:dyDescent="0.25">
      <c r="A24" s="20">
        <v>4</v>
      </c>
      <c r="B24" s="19" t="s">
        <v>329</v>
      </c>
      <c r="C24" s="19" t="s">
        <v>313</v>
      </c>
      <c r="D24" s="21" t="s">
        <v>151</v>
      </c>
      <c r="E24" s="22" t="s">
        <v>151</v>
      </c>
      <c r="F24" s="23" t="s">
        <v>18</v>
      </c>
      <c r="G24" s="24"/>
      <c r="H24" s="19"/>
    </row>
    <row r="25" spans="1:8" x14ac:dyDescent="0.25">
      <c r="A25" s="20">
        <v>4</v>
      </c>
      <c r="B25" s="19" t="s">
        <v>330</v>
      </c>
      <c r="C25" s="19" t="s">
        <v>313</v>
      </c>
      <c r="D25" s="21" t="s">
        <v>151</v>
      </c>
      <c r="E25" s="22" t="s">
        <v>151</v>
      </c>
      <c r="F25" s="23" t="s">
        <v>18</v>
      </c>
      <c r="G25" s="24"/>
      <c r="H25" s="19"/>
    </row>
    <row r="26" spans="1:8" x14ac:dyDescent="0.25">
      <c r="A26" s="20">
        <v>4</v>
      </c>
      <c r="B26" s="19" t="s">
        <v>331</v>
      </c>
      <c r="C26" s="19" t="s">
        <v>180</v>
      </c>
      <c r="D26" s="21" t="s">
        <v>151</v>
      </c>
      <c r="E26" s="22" t="s">
        <v>151</v>
      </c>
      <c r="F26" s="23" t="s">
        <v>18</v>
      </c>
      <c r="G26" s="24"/>
      <c r="H26" s="19"/>
    </row>
    <row r="27" spans="1:8" x14ac:dyDescent="0.25">
      <c r="A27" s="20">
        <v>4</v>
      </c>
      <c r="B27" s="19" t="s">
        <v>332</v>
      </c>
      <c r="C27" s="19" t="s">
        <v>189</v>
      </c>
      <c r="D27" s="21" t="s">
        <v>151</v>
      </c>
      <c r="E27" s="22" t="s">
        <v>151</v>
      </c>
      <c r="F27" s="23" t="s">
        <v>18</v>
      </c>
      <c r="G27" s="24"/>
      <c r="H27" s="19"/>
    </row>
    <row r="28" spans="1:8" x14ac:dyDescent="0.25">
      <c r="A28" s="20">
        <v>4</v>
      </c>
      <c r="B28" s="19" t="s">
        <v>195</v>
      </c>
      <c r="C28" s="19" t="s">
        <v>163</v>
      </c>
      <c r="D28" s="21" t="s">
        <v>151</v>
      </c>
      <c r="E28" s="22" t="s">
        <v>151</v>
      </c>
      <c r="F28" s="23" t="s">
        <v>18</v>
      </c>
      <c r="G28" s="24"/>
      <c r="H28" s="19"/>
    </row>
    <row r="29" spans="1:8" x14ac:dyDescent="0.25">
      <c r="A29" s="20">
        <v>5</v>
      </c>
      <c r="B29" s="19" t="s">
        <v>333</v>
      </c>
      <c r="C29" s="19" t="s">
        <v>187</v>
      </c>
      <c r="D29" s="21" t="s">
        <v>151</v>
      </c>
      <c r="E29" s="22" t="s">
        <v>151</v>
      </c>
      <c r="F29" s="23" t="s">
        <v>18</v>
      </c>
      <c r="G29" s="24"/>
      <c r="H29" s="19"/>
    </row>
    <row r="30" spans="1:8" x14ac:dyDescent="0.25">
      <c r="A30" s="20">
        <v>5</v>
      </c>
      <c r="B30" s="19" t="s">
        <v>334</v>
      </c>
      <c r="C30" s="19" t="s">
        <v>313</v>
      </c>
      <c r="D30" s="21" t="s">
        <v>151</v>
      </c>
      <c r="E30" s="22" t="s">
        <v>151</v>
      </c>
      <c r="F30" s="23" t="s">
        <v>18</v>
      </c>
      <c r="G30" s="24"/>
      <c r="H30" s="19"/>
    </row>
    <row r="31" spans="1:8" ht="25.5" x14ac:dyDescent="0.25">
      <c r="A31" s="20">
        <v>5</v>
      </c>
      <c r="B31" s="19" t="s">
        <v>335</v>
      </c>
      <c r="C31" s="19" t="s">
        <v>180</v>
      </c>
      <c r="D31" s="21" t="s">
        <v>151</v>
      </c>
      <c r="E31" s="22" t="s">
        <v>151</v>
      </c>
      <c r="F31" s="23" t="s">
        <v>18</v>
      </c>
      <c r="G31" s="24" t="s">
        <v>336</v>
      </c>
      <c r="H31" s="19"/>
    </row>
    <row r="32" spans="1:8" x14ac:dyDescent="0.25">
      <c r="A32" s="20">
        <v>5</v>
      </c>
      <c r="B32" s="19" t="s">
        <v>337</v>
      </c>
      <c r="C32" s="19" t="s">
        <v>209</v>
      </c>
      <c r="D32" s="25" t="s">
        <v>132</v>
      </c>
      <c r="E32" s="20" t="s">
        <v>55</v>
      </c>
      <c r="F32" s="27" t="s">
        <v>6</v>
      </c>
      <c r="G32" s="24"/>
      <c r="H32" s="19"/>
    </row>
    <row r="33" spans="1:8" ht="25.5" customHeight="1" x14ac:dyDescent="0.25">
      <c r="A33" s="20">
        <v>5</v>
      </c>
      <c r="B33" s="19" t="s">
        <v>338</v>
      </c>
      <c r="C33" s="19" t="s">
        <v>202</v>
      </c>
      <c r="D33" s="21" t="s">
        <v>151</v>
      </c>
      <c r="E33" s="22" t="s">
        <v>151</v>
      </c>
      <c r="F33" s="23" t="s">
        <v>18</v>
      </c>
      <c r="G33" s="24" t="s">
        <v>203</v>
      </c>
      <c r="H33" s="19"/>
    </row>
    <row r="34" spans="1:8" x14ac:dyDescent="0.25">
      <c r="A34" s="20">
        <v>5</v>
      </c>
      <c r="B34" s="19" t="s">
        <v>254</v>
      </c>
      <c r="C34" s="19" t="s">
        <v>205</v>
      </c>
      <c r="D34" s="21" t="s">
        <v>151</v>
      </c>
      <c r="E34" s="22" t="s">
        <v>151</v>
      </c>
      <c r="F34" s="23" t="s">
        <v>18</v>
      </c>
      <c r="G34" s="24"/>
      <c r="H34" s="19"/>
    </row>
    <row r="35" spans="1:8" x14ac:dyDescent="0.25">
      <c r="A35" s="20">
        <v>6</v>
      </c>
      <c r="B35" s="19" t="s">
        <v>339</v>
      </c>
      <c r="C35" s="19" t="s">
        <v>187</v>
      </c>
      <c r="D35" s="25" t="s">
        <v>74</v>
      </c>
      <c r="E35" s="20" t="s">
        <v>58</v>
      </c>
      <c r="F35" s="26" t="s">
        <v>5</v>
      </c>
      <c r="G35" s="24"/>
      <c r="H35" s="19"/>
    </row>
    <row r="36" spans="1:8" x14ac:dyDescent="0.25">
      <c r="A36" s="20">
        <v>6</v>
      </c>
      <c r="B36" s="19" t="s">
        <v>340</v>
      </c>
      <c r="C36" s="19" t="s">
        <v>177</v>
      </c>
      <c r="D36" s="25" t="s">
        <v>76</v>
      </c>
      <c r="E36" s="20" t="s">
        <v>61</v>
      </c>
      <c r="F36" s="26" t="s">
        <v>5</v>
      </c>
      <c r="G36" s="24"/>
      <c r="H36" s="19"/>
    </row>
    <row r="37" spans="1:8" x14ac:dyDescent="0.25">
      <c r="A37" s="20">
        <v>6</v>
      </c>
      <c r="B37" s="19" t="s">
        <v>341</v>
      </c>
      <c r="C37" s="19" t="s">
        <v>313</v>
      </c>
      <c r="D37" s="21" t="s">
        <v>151</v>
      </c>
      <c r="E37" s="22" t="s">
        <v>151</v>
      </c>
      <c r="F37" s="23" t="s">
        <v>18</v>
      </c>
      <c r="G37" s="24"/>
      <c r="H37" s="19"/>
    </row>
    <row r="38" spans="1:8" ht="25.5" customHeight="1" x14ac:dyDescent="0.25">
      <c r="A38" s="20">
        <v>6</v>
      </c>
      <c r="B38" s="19" t="s">
        <v>342</v>
      </c>
      <c r="C38" s="19" t="s">
        <v>313</v>
      </c>
      <c r="D38" s="21" t="s">
        <v>151</v>
      </c>
      <c r="E38" s="22" t="s">
        <v>151</v>
      </c>
      <c r="F38" s="23" t="s">
        <v>18</v>
      </c>
      <c r="G38" s="24" t="s">
        <v>343</v>
      </c>
      <c r="H38" s="19"/>
    </row>
    <row r="39" spans="1:8" ht="25.5" customHeight="1" x14ac:dyDescent="0.25">
      <c r="A39" s="20">
        <v>6</v>
      </c>
      <c r="B39" s="19" t="s">
        <v>214</v>
      </c>
      <c r="C39" s="19" t="s">
        <v>202</v>
      </c>
      <c r="D39" s="21" t="s">
        <v>151</v>
      </c>
      <c r="E39" s="22" t="s">
        <v>151</v>
      </c>
      <c r="F39" s="23" t="s">
        <v>18</v>
      </c>
      <c r="G39" s="24" t="s">
        <v>203</v>
      </c>
      <c r="H39" s="19"/>
    </row>
    <row r="40" spans="1:8" x14ac:dyDescent="0.25">
      <c r="A40" s="20">
        <v>6</v>
      </c>
      <c r="B40" s="19" t="s">
        <v>258</v>
      </c>
      <c r="C40" s="19" t="s">
        <v>205</v>
      </c>
      <c r="D40" s="21" t="s">
        <v>151</v>
      </c>
      <c r="E40" s="22" t="s">
        <v>151</v>
      </c>
      <c r="F40" s="23" t="s">
        <v>18</v>
      </c>
      <c r="G40" s="24"/>
      <c r="H40" s="19"/>
    </row>
    <row r="41" spans="1:8" ht="25.5" customHeight="1" x14ac:dyDescent="0.25">
      <c r="A41" s="20">
        <v>7</v>
      </c>
      <c r="B41" s="19" t="s">
        <v>216</v>
      </c>
      <c r="C41" s="19" t="s">
        <v>202</v>
      </c>
      <c r="D41" s="21" t="s">
        <v>151</v>
      </c>
      <c r="E41" s="22" t="s">
        <v>151</v>
      </c>
      <c r="F41" s="23" t="s">
        <v>18</v>
      </c>
      <c r="G41" s="24" t="s">
        <v>203</v>
      </c>
      <c r="H41" s="19"/>
    </row>
    <row r="42" spans="1:8" x14ac:dyDescent="0.25">
      <c r="A42" s="20">
        <v>7</v>
      </c>
      <c r="B42" s="19" t="s">
        <v>217</v>
      </c>
      <c r="C42" s="19" t="s">
        <v>205</v>
      </c>
      <c r="D42" s="21" t="s">
        <v>151</v>
      </c>
      <c r="E42" s="22" t="s">
        <v>151</v>
      </c>
      <c r="F42" s="23" t="s">
        <v>18</v>
      </c>
      <c r="G42" s="24"/>
      <c r="H42" s="19"/>
    </row>
    <row r="43" spans="1:8" ht="25.5" customHeight="1" x14ac:dyDescent="0.25">
      <c r="A43" s="20">
        <v>7</v>
      </c>
      <c r="B43" s="19" t="s">
        <v>218</v>
      </c>
      <c r="C43" s="19" t="s">
        <v>202</v>
      </c>
      <c r="D43" s="21" t="s">
        <v>151</v>
      </c>
      <c r="E43" s="22" t="s">
        <v>151</v>
      </c>
      <c r="F43" s="23" t="s">
        <v>18</v>
      </c>
      <c r="G43" s="24" t="s">
        <v>219</v>
      </c>
      <c r="H43" s="19"/>
    </row>
    <row r="44" spans="1:8" ht="25.5" customHeight="1" x14ac:dyDescent="0.25">
      <c r="A44" s="20">
        <v>7</v>
      </c>
      <c r="B44" s="19" t="s">
        <v>220</v>
      </c>
      <c r="C44" s="19" t="s">
        <v>202</v>
      </c>
      <c r="D44" s="21" t="s">
        <v>151</v>
      </c>
      <c r="E44" s="22" t="s">
        <v>151</v>
      </c>
      <c r="F44" s="23" t="s">
        <v>18</v>
      </c>
      <c r="G44" s="24" t="s">
        <v>219</v>
      </c>
      <c r="H44" s="19"/>
    </row>
    <row r="45" spans="1:8" ht="25.5" customHeight="1" x14ac:dyDescent="0.25">
      <c r="A45" s="20">
        <v>7</v>
      </c>
      <c r="B45" s="19" t="s">
        <v>221</v>
      </c>
      <c r="C45" s="19" t="s">
        <v>202</v>
      </c>
      <c r="D45" s="21" t="s">
        <v>151</v>
      </c>
      <c r="E45" s="22" t="s">
        <v>151</v>
      </c>
      <c r="F45" s="23" t="s">
        <v>18</v>
      </c>
      <c r="G45" s="24" t="s">
        <v>219</v>
      </c>
      <c r="H45" s="19"/>
    </row>
    <row r="46" spans="1:8" x14ac:dyDescent="0.25">
      <c r="A46" s="20">
        <v>7</v>
      </c>
      <c r="B46" s="19" t="s">
        <v>222</v>
      </c>
      <c r="C46" s="19" t="s">
        <v>212</v>
      </c>
      <c r="D46" s="21" t="s">
        <v>151</v>
      </c>
      <c r="E46" s="22" t="s">
        <v>151</v>
      </c>
      <c r="F46" s="23" t="s">
        <v>18</v>
      </c>
      <c r="G46" s="24"/>
      <c r="H46" s="19"/>
    </row>
    <row r="47" spans="1:8" x14ac:dyDescent="0.25">
      <c r="A47" s="20">
        <v>8</v>
      </c>
      <c r="B47" s="19" t="s">
        <v>309</v>
      </c>
      <c r="C47" s="19" t="s">
        <v>212</v>
      </c>
      <c r="D47" s="21" t="s">
        <v>151</v>
      </c>
      <c r="E47" s="22" t="s">
        <v>151</v>
      </c>
      <c r="F47" s="23" t="s">
        <v>18</v>
      </c>
      <c r="G47" s="24"/>
      <c r="H47" s="19"/>
    </row>
    <row r="48" spans="1:8" x14ac:dyDescent="0.25">
      <c r="A48" s="20">
        <v>8</v>
      </c>
      <c r="B48" s="19" t="s">
        <v>224</v>
      </c>
      <c r="C48" s="19" t="s">
        <v>212</v>
      </c>
      <c r="D48" s="21" t="s">
        <v>151</v>
      </c>
      <c r="E48" s="22" t="s">
        <v>151</v>
      </c>
      <c r="F48" s="23" t="s">
        <v>18</v>
      </c>
      <c r="G48" s="24"/>
      <c r="H48" s="19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49"/>
  <sheetViews>
    <sheetView showGridLines="0" zoomScaleNormal="100" workbookViewId="0">
      <pane ySplit="2" topLeftCell="A3" activePane="bottomLeft" state="frozen"/>
      <selection pane="bottomLeft" activeCell="F45" sqref="D44:F45"/>
    </sheetView>
  </sheetViews>
  <sheetFormatPr baseColWidth="10" defaultColWidth="8.7109375" defaultRowHeight="15" x14ac:dyDescent="0.25"/>
  <cols>
    <col min="1" max="1" width="10" customWidth="1"/>
    <col min="2" max="2" width="58" customWidth="1"/>
    <col min="3" max="3" width="26" customWidth="1"/>
    <col min="4" max="4" width="30" customWidth="1"/>
    <col min="5" max="5" width="12" customWidth="1"/>
    <col min="6" max="6" width="16" customWidth="1"/>
    <col min="7" max="7" width="46" customWidth="1"/>
    <col min="8" max="8" width="26" customWidth="1"/>
  </cols>
  <sheetData>
    <row r="1" spans="1:8" ht="16.5" customHeight="1" x14ac:dyDescent="0.25">
      <c r="A1" s="17" t="s">
        <v>344</v>
      </c>
    </row>
    <row r="2" spans="1:8" ht="30" customHeight="1" x14ac:dyDescent="0.25">
      <c r="A2" s="4" t="s">
        <v>141</v>
      </c>
      <c r="B2" s="4" t="s">
        <v>142</v>
      </c>
      <c r="C2" s="4" t="s">
        <v>143</v>
      </c>
      <c r="D2" s="4" t="s">
        <v>144</v>
      </c>
      <c r="E2" s="4" t="s">
        <v>145</v>
      </c>
      <c r="F2" s="4" t="s">
        <v>146</v>
      </c>
      <c r="G2" s="4" t="s">
        <v>147</v>
      </c>
      <c r="H2" s="4" t="s">
        <v>148</v>
      </c>
    </row>
    <row r="3" spans="1:8" x14ac:dyDescent="0.25">
      <c r="A3" s="20">
        <v>1</v>
      </c>
      <c r="B3" s="19" t="s">
        <v>345</v>
      </c>
      <c r="C3" s="19" t="s">
        <v>150</v>
      </c>
      <c r="D3" s="21" t="s">
        <v>151</v>
      </c>
      <c r="E3" s="22" t="s">
        <v>151</v>
      </c>
      <c r="F3" s="23" t="s">
        <v>18</v>
      </c>
      <c r="G3" s="24"/>
      <c r="H3" s="19"/>
    </row>
    <row r="4" spans="1:8" x14ac:dyDescent="0.25">
      <c r="A4" s="20">
        <v>1</v>
      </c>
      <c r="B4" s="19" t="s">
        <v>346</v>
      </c>
      <c r="C4" s="19" t="s">
        <v>189</v>
      </c>
      <c r="D4" s="25" t="s">
        <v>104</v>
      </c>
      <c r="E4" s="20" t="s">
        <v>55</v>
      </c>
      <c r="F4" s="27" t="s">
        <v>6</v>
      </c>
      <c r="G4" s="24"/>
      <c r="H4" s="19"/>
    </row>
    <row r="5" spans="1:8" x14ac:dyDescent="0.25">
      <c r="A5" s="20">
        <v>1</v>
      </c>
      <c r="B5" s="19" t="s">
        <v>347</v>
      </c>
      <c r="C5" s="19" t="s">
        <v>156</v>
      </c>
      <c r="D5" s="21" t="s">
        <v>151</v>
      </c>
      <c r="E5" s="22" t="s">
        <v>151</v>
      </c>
      <c r="F5" s="23" t="s">
        <v>18</v>
      </c>
      <c r="G5" s="24"/>
      <c r="H5" s="19"/>
    </row>
    <row r="6" spans="1:8" x14ac:dyDescent="0.25">
      <c r="A6" s="20">
        <v>1</v>
      </c>
      <c r="B6" s="19" t="s">
        <v>160</v>
      </c>
      <c r="C6" s="19" t="s">
        <v>161</v>
      </c>
      <c r="D6" s="21" t="s">
        <v>151</v>
      </c>
      <c r="E6" s="22" t="s">
        <v>151</v>
      </c>
      <c r="F6" s="23" t="s">
        <v>18</v>
      </c>
      <c r="G6" s="24"/>
      <c r="H6" s="19"/>
    </row>
    <row r="7" spans="1:8" x14ac:dyDescent="0.25">
      <c r="A7" s="20">
        <v>1</v>
      </c>
      <c r="B7" s="19" t="s">
        <v>348</v>
      </c>
      <c r="C7" s="19" t="s">
        <v>205</v>
      </c>
      <c r="D7" s="21" t="s">
        <v>151</v>
      </c>
      <c r="E7" s="22" t="s">
        <v>151</v>
      </c>
      <c r="F7" s="23" t="s">
        <v>18</v>
      </c>
      <c r="G7" s="24"/>
      <c r="H7" s="19"/>
    </row>
    <row r="8" spans="1:8" x14ac:dyDescent="0.25">
      <c r="A8" s="20">
        <v>1</v>
      </c>
      <c r="B8" s="19" t="s">
        <v>162</v>
      </c>
      <c r="C8" s="19" t="s">
        <v>163</v>
      </c>
      <c r="D8" s="21" t="s">
        <v>151</v>
      </c>
      <c r="E8" s="22" t="s">
        <v>151</v>
      </c>
      <c r="F8" s="23" t="s">
        <v>18</v>
      </c>
      <c r="G8" s="24"/>
      <c r="H8" s="19"/>
    </row>
    <row r="9" spans="1:8" x14ac:dyDescent="0.25">
      <c r="A9" s="20">
        <v>2</v>
      </c>
      <c r="B9" s="19" t="s">
        <v>349</v>
      </c>
      <c r="C9" s="19" t="s">
        <v>174</v>
      </c>
      <c r="D9" s="21" t="s">
        <v>151</v>
      </c>
      <c r="E9" s="22" t="s">
        <v>151</v>
      </c>
      <c r="F9" s="23" t="s">
        <v>18</v>
      </c>
      <c r="G9" s="24"/>
      <c r="H9" s="19"/>
    </row>
    <row r="10" spans="1:8" x14ac:dyDescent="0.25">
      <c r="A10" s="20">
        <v>2</v>
      </c>
      <c r="B10" s="19" t="s">
        <v>332</v>
      </c>
      <c r="C10" s="19" t="s">
        <v>189</v>
      </c>
      <c r="D10" s="21" t="s">
        <v>151</v>
      </c>
      <c r="E10" s="22" t="s">
        <v>151</v>
      </c>
      <c r="F10" s="23" t="s">
        <v>18</v>
      </c>
      <c r="G10" s="24"/>
      <c r="H10" s="19"/>
    </row>
    <row r="11" spans="1:8" x14ac:dyDescent="0.25">
      <c r="A11" s="20">
        <v>2</v>
      </c>
      <c r="B11" s="19" t="s">
        <v>350</v>
      </c>
      <c r="C11" s="19" t="s">
        <v>156</v>
      </c>
      <c r="D11" s="21" t="s">
        <v>151</v>
      </c>
      <c r="E11" s="22" t="s">
        <v>151</v>
      </c>
      <c r="F11" s="23" t="s">
        <v>18</v>
      </c>
      <c r="G11" s="24"/>
      <c r="H11" s="19"/>
    </row>
    <row r="12" spans="1:8" x14ac:dyDescent="0.25">
      <c r="A12" s="20">
        <v>2</v>
      </c>
      <c r="B12" s="19" t="s">
        <v>311</v>
      </c>
      <c r="C12" s="19" t="s">
        <v>177</v>
      </c>
      <c r="D12" s="25" t="s">
        <v>66</v>
      </c>
      <c r="E12" s="20" t="s">
        <v>48</v>
      </c>
      <c r="F12" s="26" t="s">
        <v>5</v>
      </c>
      <c r="G12" s="24"/>
      <c r="H12" s="19"/>
    </row>
    <row r="13" spans="1:8" x14ac:dyDescent="0.25">
      <c r="A13" s="20">
        <v>2</v>
      </c>
      <c r="B13" s="19" t="s">
        <v>171</v>
      </c>
      <c r="C13" s="19" t="s">
        <v>161</v>
      </c>
      <c r="D13" s="21" t="s">
        <v>151</v>
      </c>
      <c r="E13" s="22" t="s">
        <v>151</v>
      </c>
      <c r="F13" s="23" t="s">
        <v>18</v>
      </c>
      <c r="G13" s="24"/>
      <c r="H13" s="19"/>
    </row>
    <row r="14" spans="1:8" x14ac:dyDescent="0.25">
      <c r="A14" s="20">
        <v>2</v>
      </c>
      <c r="B14" s="19" t="s">
        <v>351</v>
      </c>
      <c r="C14" s="19" t="s">
        <v>205</v>
      </c>
      <c r="D14" s="21" t="s">
        <v>151</v>
      </c>
      <c r="E14" s="22" t="s">
        <v>151</v>
      </c>
      <c r="F14" s="23" t="s">
        <v>18</v>
      </c>
      <c r="G14" s="24"/>
      <c r="H14" s="19"/>
    </row>
    <row r="15" spans="1:8" x14ac:dyDescent="0.25">
      <c r="A15" s="20">
        <v>2</v>
      </c>
      <c r="B15" s="19" t="s">
        <v>172</v>
      </c>
      <c r="C15" s="19" t="s">
        <v>163</v>
      </c>
      <c r="D15" s="21" t="s">
        <v>151</v>
      </c>
      <c r="E15" s="22" t="s">
        <v>151</v>
      </c>
      <c r="F15" s="23" t="s">
        <v>18</v>
      </c>
      <c r="G15" s="24"/>
      <c r="H15" s="19"/>
    </row>
    <row r="16" spans="1:8" x14ac:dyDescent="0.25">
      <c r="A16" s="20">
        <v>3</v>
      </c>
      <c r="B16" s="19" t="s">
        <v>352</v>
      </c>
      <c r="C16" s="19" t="s">
        <v>150</v>
      </c>
      <c r="D16" s="21" t="s">
        <v>151</v>
      </c>
      <c r="E16" s="22" t="s">
        <v>151</v>
      </c>
      <c r="F16" s="23" t="s">
        <v>18</v>
      </c>
      <c r="G16" s="24"/>
      <c r="H16" s="19"/>
    </row>
    <row r="17" spans="1:8" ht="25.5" customHeight="1" x14ac:dyDescent="0.25">
      <c r="A17" s="20">
        <v>3</v>
      </c>
      <c r="B17" s="19" t="s">
        <v>353</v>
      </c>
      <c r="C17" s="19" t="s">
        <v>189</v>
      </c>
      <c r="D17" s="21" t="s">
        <v>151</v>
      </c>
      <c r="E17" s="22" t="s">
        <v>151</v>
      </c>
      <c r="F17" s="23" t="s">
        <v>18</v>
      </c>
      <c r="G17" s="24" t="s">
        <v>354</v>
      </c>
      <c r="H17" s="19"/>
    </row>
    <row r="18" spans="1:8" x14ac:dyDescent="0.25">
      <c r="A18" s="20">
        <v>3</v>
      </c>
      <c r="B18" s="19" t="s">
        <v>355</v>
      </c>
      <c r="C18" s="19" t="s">
        <v>150</v>
      </c>
      <c r="D18" s="25" t="s">
        <v>81</v>
      </c>
      <c r="E18" s="20" t="s">
        <v>48</v>
      </c>
      <c r="F18" s="27" t="s">
        <v>6</v>
      </c>
      <c r="G18" s="24"/>
      <c r="H18" s="19"/>
    </row>
    <row r="19" spans="1:8" x14ac:dyDescent="0.25">
      <c r="A19" s="20">
        <v>3</v>
      </c>
      <c r="B19" s="19" t="s">
        <v>356</v>
      </c>
      <c r="C19" s="19" t="s">
        <v>357</v>
      </c>
      <c r="D19" s="21" t="s">
        <v>151</v>
      </c>
      <c r="E19" s="22" t="s">
        <v>151</v>
      </c>
      <c r="F19" s="23" t="s">
        <v>18</v>
      </c>
      <c r="G19" s="24" t="s">
        <v>358</v>
      </c>
      <c r="H19" s="19"/>
    </row>
    <row r="20" spans="1:8" x14ac:dyDescent="0.25">
      <c r="A20" s="20">
        <v>3</v>
      </c>
      <c r="B20" s="19" t="s">
        <v>359</v>
      </c>
      <c r="C20" s="19" t="s">
        <v>205</v>
      </c>
      <c r="D20" s="21" t="s">
        <v>151</v>
      </c>
      <c r="E20" s="22" t="s">
        <v>151</v>
      </c>
      <c r="F20" s="23" t="s">
        <v>18</v>
      </c>
      <c r="G20" s="24"/>
      <c r="H20" s="19"/>
    </row>
    <row r="21" spans="1:8" x14ac:dyDescent="0.25">
      <c r="A21" s="20">
        <v>3</v>
      </c>
      <c r="B21" s="19" t="s">
        <v>281</v>
      </c>
      <c r="C21" s="19" t="s">
        <v>161</v>
      </c>
      <c r="D21" s="21" t="s">
        <v>151</v>
      </c>
      <c r="E21" s="22" t="s">
        <v>151</v>
      </c>
      <c r="F21" s="23" t="s">
        <v>18</v>
      </c>
      <c r="G21" s="24"/>
      <c r="H21" s="19"/>
    </row>
    <row r="22" spans="1:8" x14ac:dyDescent="0.25">
      <c r="A22" s="20">
        <v>3</v>
      </c>
      <c r="B22" s="19" t="s">
        <v>185</v>
      </c>
      <c r="C22" s="19" t="s">
        <v>163</v>
      </c>
      <c r="D22" s="21" t="s">
        <v>151</v>
      </c>
      <c r="E22" s="22" t="s">
        <v>151</v>
      </c>
      <c r="F22" s="23" t="s">
        <v>18</v>
      </c>
      <c r="G22" s="24"/>
      <c r="H22" s="19"/>
    </row>
    <row r="23" spans="1:8" x14ac:dyDescent="0.25">
      <c r="A23" s="20">
        <v>4</v>
      </c>
      <c r="B23" s="19" t="s">
        <v>360</v>
      </c>
      <c r="C23" s="19" t="s">
        <v>189</v>
      </c>
      <c r="D23" s="21" t="s">
        <v>151</v>
      </c>
      <c r="E23" s="22" t="s">
        <v>151</v>
      </c>
      <c r="F23" s="23" t="s">
        <v>18</v>
      </c>
      <c r="G23" s="24"/>
      <c r="H23" s="19"/>
    </row>
    <row r="24" spans="1:8" x14ac:dyDescent="0.25">
      <c r="A24" s="20">
        <v>4</v>
      </c>
      <c r="B24" s="19" t="s">
        <v>361</v>
      </c>
      <c r="C24" s="19" t="s">
        <v>357</v>
      </c>
      <c r="D24" s="21" t="s">
        <v>151</v>
      </c>
      <c r="E24" s="22" t="s">
        <v>151</v>
      </c>
      <c r="F24" s="23" t="s">
        <v>18</v>
      </c>
      <c r="G24" s="24"/>
      <c r="H24" s="19"/>
    </row>
    <row r="25" spans="1:8" x14ac:dyDescent="0.25">
      <c r="A25" s="20">
        <v>4</v>
      </c>
      <c r="B25" s="19" t="s">
        <v>362</v>
      </c>
      <c r="C25" s="19" t="s">
        <v>137</v>
      </c>
      <c r="D25" s="21" t="s">
        <v>151</v>
      </c>
      <c r="E25" s="22" t="s">
        <v>151</v>
      </c>
      <c r="F25" s="23" t="s">
        <v>18</v>
      </c>
      <c r="G25" s="24"/>
      <c r="H25" s="19"/>
    </row>
    <row r="26" spans="1:8" x14ac:dyDescent="0.25">
      <c r="A26" s="20">
        <v>4</v>
      </c>
      <c r="B26" s="19" t="s">
        <v>363</v>
      </c>
      <c r="C26" s="19" t="s">
        <v>174</v>
      </c>
      <c r="D26" s="21" t="s">
        <v>151</v>
      </c>
      <c r="E26" s="22" t="s">
        <v>151</v>
      </c>
      <c r="F26" s="23" t="s">
        <v>18</v>
      </c>
      <c r="G26" s="24"/>
      <c r="H26" s="19"/>
    </row>
    <row r="27" spans="1:8" x14ac:dyDescent="0.25">
      <c r="A27" s="20">
        <v>4</v>
      </c>
      <c r="B27" s="19" t="s">
        <v>364</v>
      </c>
      <c r="C27" s="19" t="s">
        <v>205</v>
      </c>
      <c r="D27" s="21" t="s">
        <v>151</v>
      </c>
      <c r="E27" s="22" t="s">
        <v>151</v>
      </c>
      <c r="F27" s="23" t="s">
        <v>18</v>
      </c>
      <c r="G27" s="24"/>
      <c r="H27" s="19"/>
    </row>
    <row r="28" spans="1:8" ht="25.5" customHeight="1" x14ac:dyDescent="0.25">
      <c r="A28" s="20">
        <v>4</v>
      </c>
      <c r="B28" s="19" t="s">
        <v>201</v>
      </c>
      <c r="C28" s="19" t="s">
        <v>202</v>
      </c>
      <c r="D28" s="21" t="s">
        <v>151</v>
      </c>
      <c r="E28" s="22" t="s">
        <v>151</v>
      </c>
      <c r="F28" s="23" t="s">
        <v>18</v>
      </c>
      <c r="G28" s="24" t="s">
        <v>203</v>
      </c>
      <c r="H28" s="19"/>
    </row>
    <row r="29" spans="1:8" x14ac:dyDescent="0.25">
      <c r="A29" s="20">
        <v>4</v>
      </c>
      <c r="B29" s="19" t="s">
        <v>195</v>
      </c>
      <c r="C29" s="19" t="s">
        <v>163</v>
      </c>
      <c r="D29" s="21" t="s">
        <v>151</v>
      </c>
      <c r="E29" s="22" t="s">
        <v>151</v>
      </c>
      <c r="F29" s="23" t="s">
        <v>18</v>
      </c>
      <c r="G29" s="24"/>
      <c r="H29" s="19"/>
    </row>
    <row r="30" spans="1:8" x14ac:dyDescent="0.25">
      <c r="A30" s="20">
        <v>5</v>
      </c>
      <c r="B30" s="19" t="s">
        <v>365</v>
      </c>
      <c r="C30" s="19" t="s">
        <v>189</v>
      </c>
      <c r="D30" s="21" t="s">
        <v>151</v>
      </c>
      <c r="E30" s="22" t="s">
        <v>151</v>
      </c>
      <c r="F30" s="23" t="s">
        <v>18</v>
      </c>
      <c r="G30" s="24"/>
      <c r="H30" s="19"/>
    </row>
    <row r="31" spans="1:8" x14ac:dyDescent="0.25">
      <c r="A31" s="20">
        <v>5</v>
      </c>
      <c r="B31" s="19" t="s">
        <v>366</v>
      </c>
      <c r="C31" s="19" t="s">
        <v>137</v>
      </c>
      <c r="D31" s="21" t="s">
        <v>151</v>
      </c>
      <c r="E31" s="22" t="s">
        <v>151</v>
      </c>
      <c r="F31" s="23" t="s">
        <v>18</v>
      </c>
      <c r="G31" s="24"/>
      <c r="H31" s="19"/>
    </row>
    <row r="32" spans="1:8" x14ac:dyDescent="0.25">
      <c r="A32" s="20">
        <v>5</v>
      </c>
      <c r="B32" s="19" t="s">
        <v>367</v>
      </c>
      <c r="C32" s="19" t="s">
        <v>357</v>
      </c>
      <c r="D32" s="21" t="s">
        <v>151</v>
      </c>
      <c r="E32" s="22" t="s">
        <v>151</v>
      </c>
      <c r="F32" s="23" t="s">
        <v>18</v>
      </c>
      <c r="G32" s="24"/>
      <c r="H32" s="19"/>
    </row>
    <row r="33" spans="1:8" x14ac:dyDescent="0.25">
      <c r="A33" s="20">
        <v>5</v>
      </c>
      <c r="B33" s="19" t="s">
        <v>368</v>
      </c>
      <c r="C33" s="19" t="s">
        <v>150</v>
      </c>
      <c r="D33" s="21" t="s">
        <v>151</v>
      </c>
      <c r="E33" s="22" t="s">
        <v>151</v>
      </c>
      <c r="F33" s="23" t="s">
        <v>18</v>
      </c>
      <c r="G33" s="24"/>
      <c r="H33" s="19"/>
    </row>
    <row r="34" spans="1:8" x14ac:dyDescent="0.25">
      <c r="A34" s="20">
        <v>5</v>
      </c>
      <c r="B34" s="19" t="s">
        <v>369</v>
      </c>
      <c r="C34" s="19" t="s">
        <v>189</v>
      </c>
      <c r="D34" s="21" t="s">
        <v>151</v>
      </c>
      <c r="E34" s="22" t="s">
        <v>151</v>
      </c>
      <c r="F34" s="23" t="s">
        <v>18</v>
      </c>
      <c r="G34" s="24" t="s">
        <v>370</v>
      </c>
      <c r="H34" s="19"/>
    </row>
    <row r="35" spans="1:8" ht="25.5" customHeight="1" x14ac:dyDescent="0.25">
      <c r="A35" s="20">
        <v>5</v>
      </c>
      <c r="B35" s="19" t="s">
        <v>300</v>
      </c>
      <c r="C35" s="19" t="s">
        <v>202</v>
      </c>
      <c r="D35" s="21" t="s">
        <v>151</v>
      </c>
      <c r="E35" s="22" t="s">
        <v>151</v>
      </c>
      <c r="F35" s="23" t="s">
        <v>18</v>
      </c>
      <c r="G35" s="24" t="s">
        <v>203</v>
      </c>
      <c r="H35" s="19"/>
    </row>
    <row r="36" spans="1:8" x14ac:dyDescent="0.25">
      <c r="A36" s="20">
        <v>6</v>
      </c>
      <c r="B36" s="19" t="s">
        <v>340</v>
      </c>
      <c r="C36" s="19" t="s">
        <v>177</v>
      </c>
      <c r="D36" s="21" t="s">
        <v>151</v>
      </c>
      <c r="E36" s="22" t="s">
        <v>151</v>
      </c>
      <c r="F36" s="23" t="s">
        <v>18</v>
      </c>
      <c r="G36" s="24"/>
      <c r="H36" s="19"/>
    </row>
    <row r="37" spans="1:8" x14ac:dyDescent="0.25">
      <c r="A37" s="20">
        <v>6</v>
      </c>
      <c r="B37" s="19" t="s">
        <v>371</v>
      </c>
      <c r="C37" s="19" t="s">
        <v>189</v>
      </c>
      <c r="D37" s="21" t="s">
        <v>151</v>
      </c>
      <c r="E37" s="22" t="s">
        <v>151</v>
      </c>
      <c r="F37" s="23" t="s">
        <v>18</v>
      </c>
      <c r="G37" s="24"/>
      <c r="H37" s="19"/>
    </row>
    <row r="38" spans="1:8" x14ac:dyDescent="0.25">
      <c r="A38" s="20">
        <v>6</v>
      </c>
      <c r="B38" s="19" t="s">
        <v>372</v>
      </c>
      <c r="C38" s="19" t="s">
        <v>357</v>
      </c>
      <c r="D38" s="21" t="s">
        <v>151</v>
      </c>
      <c r="E38" s="22" t="s">
        <v>151</v>
      </c>
      <c r="F38" s="23" t="s">
        <v>18</v>
      </c>
      <c r="G38" s="24"/>
      <c r="H38" s="19"/>
    </row>
    <row r="39" spans="1:8" x14ac:dyDescent="0.25">
      <c r="A39" s="20">
        <v>6</v>
      </c>
      <c r="B39" s="19" t="s">
        <v>373</v>
      </c>
      <c r="C39" s="19" t="s">
        <v>177</v>
      </c>
      <c r="D39" s="21" t="s">
        <v>151</v>
      </c>
      <c r="E39" s="22" t="s">
        <v>151</v>
      </c>
      <c r="F39" s="23" t="s">
        <v>18</v>
      </c>
      <c r="G39" s="24"/>
      <c r="H39" s="19"/>
    </row>
    <row r="40" spans="1:8" ht="25.5" customHeight="1" x14ac:dyDescent="0.25">
      <c r="A40" s="20">
        <v>6</v>
      </c>
      <c r="B40" s="19" t="s">
        <v>218</v>
      </c>
      <c r="C40" s="19" t="s">
        <v>202</v>
      </c>
      <c r="D40" s="21" t="s">
        <v>151</v>
      </c>
      <c r="E40" s="22" t="s">
        <v>151</v>
      </c>
      <c r="F40" s="23" t="s">
        <v>18</v>
      </c>
      <c r="G40" s="24" t="s">
        <v>219</v>
      </c>
      <c r="H40" s="19"/>
    </row>
    <row r="41" spans="1:8" ht="25.5" customHeight="1" x14ac:dyDescent="0.25">
      <c r="A41" s="20">
        <v>6</v>
      </c>
      <c r="B41" s="19" t="s">
        <v>306</v>
      </c>
      <c r="C41" s="19" t="s">
        <v>202</v>
      </c>
      <c r="D41" s="21" t="s">
        <v>151</v>
      </c>
      <c r="E41" s="22" t="s">
        <v>151</v>
      </c>
      <c r="F41" s="23" t="s">
        <v>18</v>
      </c>
      <c r="G41" s="24" t="s">
        <v>203</v>
      </c>
      <c r="H41" s="19"/>
    </row>
    <row r="42" spans="1:8" x14ac:dyDescent="0.25">
      <c r="A42" s="20">
        <v>7</v>
      </c>
      <c r="B42" s="19" t="s">
        <v>374</v>
      </c>
      <c r="C42" s="19" t="s">
        <v>189</v>
      </c>
      <c r="D42" s="25" t="s">
        <v>57</v>
      </c>
      <c r="E42" s="20" t="s">
        <v>58</v>
      </c>
      <c r="F42" s="26" t="s">
        <v>5</v>
      </c>
      <c r="G42" s="24"/>
      <c r="H42" s="19"/>
    </row>
    <row r="43" spans="1:8" x14ac:dyDescent="0.25">
      <c r="A43" s="20">
        <v>7</v>
      </c>
      <c r="B43" s="19" t="s">
        <v>375</v>
      </c>
      <c r="C43" s="19" t="s">
        <v>209</v>
      </c>
      <c r="D43" s="25" t="s">
        <v>380</v>
      </c>
      <c r="E43" s="20" t="s">
        <v>61</v>
      </c>
      <c r="F43" s="26" t="s">
        <v>5</v>
      </c>
      <c r="G43" s="24"/>
      <c r="H43" s="19"/>
    </row>
    <row r="44" spans="1:8" x14ac:dyDescent="0.25">
      <c r="A44" s="20">
        <v>7</v>
      </c>
      <c r="B44" s="19" t="s">
        <v>376</v>
      </c>
      <c r="C44" s="19" t="s">
        <v>92</v>
      </c>
      <c r="D44" s="21" t="s">
        <v>151</v>
      </c>
      <c r="E44" s="22" t="s">
        <v>151</v>
      </c>
      <c r="F44" s="23" t="s">
        <v>18</v>
      </c>
      <c r="G44" s="24"/>
      <c r="H44" s="19"/>
    </row>
    <row r="45" spans="1:8" ht="25.5" customHeight="1" x14ac:dyDescent="0.25">
      <c r="A45" s="20">
        <v>7</v>
      </c>
      <c r="B45" s="19" t="s">
        <v>262</v>
      </c>
      <c r="C45" s="19" t="s">
        <v>202</v>
      </c>
      <c r="D45" s="21" t="s">
        <v>151</v>
      </c>
      <c r="E45" s="22" t="s">
        <v>151</v>
      </c>
      <c r="F45" s="23" t="s">
        <v>18</v>
      </c>
      <c r="G45" s="24" t="s">
        <v>219</v>
      </c>
      <c r="H45" s="19"/>
    </row>
    <row r="46" spans="1:8" ht="25.5" customHeight="1" x14ac:dyDescent="0.25">
      <c r="A46" s="20">
        <v>7</v>
      </c>
      <c r="B46" s="19" t="s">
        <v>263</v>
      </c>
      <c r="C46" s="19" t="s">
        <v>202</v>
      </c>
      <c r="D46" s="21" t="s">
        <v>151</v>
      </c>
      <c r="E46" s="22" t="s">
        <v>151</v>
      </c>
      <c r="F46" s="23" t="s">
        <v>18</v>
      </c>
      <c r="G46" s="24" t="s">
        <v>219</v>
      </c>
      <c r="H46" s="19"/>
    </row>
    <row r="47" spans="1:8" x14ac:dyDescent="0.25">
      <c r="A47" s="20">
        <v>7</v>
      </c>
      <c r="B47" s="19" t="s">
        <v>377</v>
      </c>
      <c r="C47" s="19" t="s">
        <v>212</v>
      </c>
      <c r="D47" s="21" t="s">
        <v>151</v>
      </c>
      <c r="E47" s="22" t="s">
        <v>151</v>
      </c>
      <c r="F47" s="23" t="s">
        <v>18</v>
      </c>
      <c r="G47" s="24"/>
      <c r="H47" s="19"/>
    </row>
    <row r="48" spans="1:8" x14ac:dyDescent="0.25">
      <c r="A48" s="20">
        <v>8</v>
      </c>
      <c r="B48" s="19" t="s">
        <v>378</v>
      </c>
      <c r="C48" s="19" t="s">
        <v>212</v>
      </c>
      <c r="D48" s="21" t="s">
        <v>151</v>
      </c>
      <c r="E48" s="22" t="s">
        <v>151</v>
      </c>
      <c r="F48" s="23" t="s">
        <v>18</v>
      </c>
      <c r="G48" s="24"/>
      <c r="H48" s="19"/>
    </row>
    <row r="49" spans="1:8" x14ac:dyDescent="0.25">
      <c r="A49" s="20">
        <v>8</v>
      </c>
      <c r="B49" s="19" t="s">
        <v>379</v>
      </c>
      <c r="C49" s="19" t="s">
        <v>212</v>
      </c>
      <c r="D49" s="21" t="s">
        <v>151</v>
      </c>
      <c r="E49" s="22" t="s">
        <v>151</v>
      </c>
      <c r="F49" s="23" t="s">
        <v>18</v>
      </c>
      <c r="G49" s="24"/>
      <c r="H49" s="19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Resumen</vt:lpstr>
      <vt:lpstr>Catálogo CompanyGame</vt:lpstr>
      <vt:lpstr>Administración de Empresas</vt:lpstr>
      <vt:lpstr>Adm. de Servicios de Salud</vt:lpstr>
      <vt:lpstr>Contaduría Pública</vt:lpstr>
      <vt:lpstr>Mercadeo y Publicidad</vt:lpstr>
      <vt:lpstr>Negocios Internacionales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Carlos Gonzalez</cp:lastModifiedBy>
  <cp:revision>0</cp:revision>
  <dcterms:created xsi:type="dcterms:W3CDTF">2026-09-14T20:21:54Z</dcterms:created>
  <dcterms:modified xsi:type="dcterms:W3CDTF">2026-09-17T14:02:04Z</dcterms:modified>
  <dc:language>en-US</dc:language>
</cp:coreProperties>
</file>